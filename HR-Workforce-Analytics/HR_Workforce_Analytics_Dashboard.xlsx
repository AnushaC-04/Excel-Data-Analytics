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NUSHA C\Downloads\"/>
    </mc:Choice>
  </mc:AlternateContent>
  <xr:revisionPtr revIDLastSave="0" documentId="13_ncr:1_{A745D86E-EC48-4CF5-AE16-1184980391CE}" xr6:coauthVersionLast="47" xr6:coauthVersionMax="47" xr10:uidLastSave="{00000000-0000-0000-0000-000000000000}"/>
  <bookViews>
    <workbookView xWindow="-110" yWindow="-110" windowWidth="19420" windowHeight="10300" firstSheet="3" activeTab="7" xr2:uid="{D8A1274D-8FDE-4AEA-9A89-6500F473FC70}"/>
  </bookViews>
  <sheets>
    <sheet name="Raw Data1" sheetId="1" r:id="rId1"/>
    <sheet name="Data" sheetId="12" r:id="rId2"/>
    <sheet name="Dashboard" sheetId="16" r:id="rId3"/>
    <sheet name="Chart Analysis" sheetId="14" r:id="rId4"/>
    <sheet name="Exercise 1-5" sheetId="2" r:id="rId5"/>
    <sheet name="Ecercise 6-10" sheetId="3" r:id="rId6"/>
    <sheet name="Raw Data2" sheetId="8" r:id="rId7"/>
    <sheet name="Data Copy" sheetId="6" r:id="rId8"/>
    <sheet name="Assessment Instuctions" sheetId="7" r:id="rId9"/>
    <sheet name="Data Validation" sheetId="10" r:id="rId10"/>
  </sheets>
  <definedNames>
    <definedName name="_xlnm._FilterDatabase" localSheetId="7" hidden="1">'Data Copy'!$A$1:$Q$26</definedName>
    <definedName name="_xlnm._FilterDatabase" localSheetId="0" hidden="1">'Raw Data1'!$A$1:$J$21</definedName>
    <definedName name="Slicer_City">#N/A</definedName>
    <definedName name="Slicer_Department">#N/A</definedName>
    <definedName name="Slicer_Source">#N/A</definedName>
    <definedName name="Slicer_Status">#N/A</definedName>
  </definedNames>
  <calcPr calcId="191029"/>
  <pivotCaches>
    <pivotCache cacheId="4" r:id="rId11"/>
    <pivotCache cacheId="5" r:id="rId12"/>
    <pivotCache cacheId="6"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6" i="2" l="1"/>
  <c r="B6" i="16"/>
  <c r="C13" i="16"/>
  <c r="C12" i="16"/>
  <c r="C11" i="16"/>
  <c r="C10" i="16"/>
  <c r="J6" i="16"/>
  <c r="H6" i="16"/>
  <c r="F6" i="16"/>
  <c r="D6" i="16"/>
  <c r="B144" i="3" l="1"/>
  <c r="P478" i="12"/>
  <c r="L26" i="12" a="1"/>
  <c r="L26" i="12" s="1"/>
  <c r="B137" i="3"/>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405" i="12"/>
  <c r="P406" i="12"/>
  <c r="P407" i="12"/>
  <c r="P408" i="12"/>
  <c r="P409" i="12"/>
  <c r="P410" i="12"/>
  <c r="P411" i="12"/>
  <c r="P412" i="12"/>
  <c r="P413" i="12"/>
  <c r="P414" i="12"/>
  <c r="P415" i="12"/>
  <c r="P416" i="12"/>
  <c r="P417" i="12"/>
  <c r="P418" i="12"/>
  <c r="P419" i="12"/>
  <c r="P420" i="12"/>
  <c r="P421" i="12"/>
  <c r="P422" i="12"/>
  <c r="P423" i="12"/>
  <c r="P424" i="12"/>
  <c r="P425" i="12"/>
  <c r="P426" i="12"/>
  <c r="P427" i="12"/>
  <c r="P428" i="12"/>
  <c r="P429" i="12"/>
  <c r="P430" i="12"/>
  <c r="P431" i="12"/>
  <c r="P432" i="12"/>
  <c r="P433" i="12"/>
  <c r="P434" i="12"/>
  <c r="P435" i="12"/>
  <c r="P436" i="12"/>
  <c r="P437" i="12"/>
  <c r="P438" i="12"/>
  <c r="P439" i="12"/>
  <c r="P440" i="12"/>
  <c r="P441" i="12"/>
  <c r="P442" i="12"/>
  <c r="P443" i="12"/>
  <c r="P444" i="12"/>
  <c r="P445" i="12"/>
  <c r="P446" i="12"/>
  <c r="P447" i="12"/>
  <c r="P448" i="12"/>
  <c r="P449" i="12"/>
  <c r="P450" i="12"/>
  <c r="P451" i="12"/>
  <c r="P452" i="12"/>
  <c r="P453" i="12"/>
  <c r="P454" i="12"/>
  <c r="P455" i="12"/>
  <c r="P456" i="12"/>
  <c r="P457" i="12"/>
  <c r="P458" i="12"/>
  <c r="P459" i="12"/>
  <c r="P460" i="12"/>
  <c r="P461" i="12"/>
  <c r="P462" i="12"/>
  <c r="P463" i="12"/>
  <c r="P464" i="12"/>
  <c r="P465" i="12"/>
  <c r="P466" i="12"/>
  <c r="P467" i="12"/>
  <c r="P468" i="12"/>
  <c r="P469" i="12"/>
  <c r="P470" i="12"/>
  <c r="P471" i="12"/>
  <c r="P472" i="12"/>
  <c r="P473" i="12"/>
  <c r="P474" i="12"/>
  <c r="P475" i="12"/>
  <c r="P476" i="12"/>
  <c r="P477" i="12"/>
  <c r="P2" i="12"/>
  <c r="B142" i="3"/>
  <c r="B141" i="3"/>
  <c r="B140" i="3"/>
  <c r="B139" i="3"/>
  <c r="B138" i="3"/>
  <c r="D152" i="3"/>
  <c r="B143" i="3"/>
  <c r="G76" i="2"/>
  <c r="O6" i="12"/>
  <c r="N6" i="12"/>
  <c r="N3" i="12"/>
  <c r="N4" i="12"/>
  <c r="N5" i="12"/>
  <c r="M3" i="12" a="1"/>
  <c r="M3" i="12" s="1"/>
  <c r="M4" i="12" a="1"/>
  <c r="M4" i="12" s="1"/>
  <c r="M5" i="12" a="1"/>
  <c r="M5" i="12" s="1"/>
  <c r="M6" i="12" a="1"/>
  <c r="M6" i="12" s="1"/>
  <c r="M7" i="12" a="1"/>
  <c r="M7" i="12" s="1"/>
  <c r="M8" i="12" a="1"/>
  <c r="M8" i="12" s="1"/>
  <c r="M9" i="12" a="1"/>
  <c r="M9" i="12" s="1"/>
  <c r="M10" i="12" a="1"/>
  <c r="M10" i="12" s="1"/>
  <c r="M11" i="12" a="1"/>
  <c r="M11" i="12" s="1"/>
  <c r="M12" i="12" a="1"/>
  <c r="M12" i="12" s="1"/>
  <c r="M13" i="12" a="1"/>
  <c r="M13" i="12" s="1"/>
  <c r="M14" i="12" a="1"/>
  <c r="M14" i="12" s="1"/>
  <c r="M15" i="12" a="1"/>
  <c r="M15" i="12" s="1"/>
  <c r="M16" i="12" a="1"/>
  <c r="M16" i="12" s="1"/>
  <c r="M17" i="12" a="1"/>
  <c r="M17" i="12" s="1"/>
  <c r="M18" i="12" a="1"/>
  <c r="M18" i="12" s="1"/>
  <c r="M19" i="12" a="1"/>
  <c r="M19" i="12" s="1"/>
  <c r="M20" i="12" a="1"/>
  <c r="M20" i="12" s="1"/>
  <c r="M21" i="12" a="1"/>
  <c r="M21" i="12" s="1"/>
  <c r="M22" i="12" a="1"/>
  <c r="M22" i="12" s="1"/>
  <c r="M23" i="12" a="1"/>
  <c r="M23" i="12" s="1"/>
  <c r="M24" i="12" a="1"/>
  <c r="M24" i="12" s="1"/>
  <c r="M25" i="12" a="1"/>
  <c r="M25" i="12" s="1"/>
  <c r="M26" i="12" a="1"/>
  <c r="M26" i="12" s="1"/>
  <c r="M27" i="12" a="1"/>
  <c r="M27" i="12" s="1"/>
  <c r="M28" i="12" a="1"/>
  <c r="M28" i="12" s="1"/>
  <c r="M29" i="12" a="1"/>
  <c r="M29" i="12" s="1"/>
  <c r="M30" i="12" a="1"/>
  <c r="M30" i="12" s="1"/>
  <c r="M31" i="12" a="1"/>
  <c r="M31" i="12" s="1"/>
  <c r="M32" i="12" a="1"/>
  <c r="M32" i="12" s="1"/>
  <c r="M33" i="12" a="1"/>
  <c r="M33" i="12" s="1"/>
  <c r="M34" i="12" a="1"/>
  <c r="M34" i="12" s="1"/>
  <c r="M35" i="12" a="1"/>
  <c r="M35" i="12" s="1"/>
  <c r="M36" i="12" a="1"/>
  <c r="M36" i="12" s="1"/>
  <c r="M37" i="12" a="1"/>
  <c r="M37" i="12" s="1"/>
  <c r="M38" i="12" a="1"/>
  <c r="M38" i="12" s="1"/>
  <c r="M39" i="12" a="1"/>
  <c r="M39" i="12" s="1"/>
  <c r="M40" i="12" a="1"/>
  <c r="M40" i="12" s="1"/>
  <c r="M41" i="12" a="1"/>
  <c r="M41" i="12" s="1"/>
  <c r="M42" i="12" a="1"/>
  <c r="M42" i="12" s="1"/>
  <c r="M43" i="12" a="1"/>
  <c r="M43" i="12" s="1"/>
  <c r="M44" i="12" a="1"/>
  <c r="M44" i="12" s="1"/>
  <c r="M45" i="12" a="1"/>
  <c r="M45" i="12" s="1"/>
  <c r="M46" i="12" a="1"/>
  <c r="M46" i="12" s="1"/>
  <c r="M47" i="12" a="1"/>
  <c r="M47" i="12" s="1"/>
  <c r="M48" i="12" a="1"/>
  <c r="M48" i="12" s="1"/>
  <c r="M49" i="12" a="1"/>
  <c r="M49" i="12" s="1"/>
  <c r="M50" i="12" a="1"/>
  <c r="M50" i="12" s="1"/>
  <c r="M51" i="12" a="1"/>
  <c r="M51" i="12" s="1"/>
  <c r="M52" i="12" a="1"/>
  <c r="M52" i="12" s="1"/>
  <c r="M53" i="12" a="1"/>
  <c r="M53" i="12" s="1"/>
  <c r="M54" i="12" a="1"/>
  <c r="M54" i="12" s="1"/>
  <c r="M55" i="12" a="1"/>
  <c r="M55" i="12" s="1"/>
  <c r="M56" i="12" a="1"/>
  <c r="M56" i="12" s="1"/>
  <c r="M57" i="12" a="1"/>
  <c r="M57" i="12" s="1"/>
  <c r="M58" i="12" a="1"/>
  <c r="M58" i="12" s="1"/>
  <c r="M59" i="12" a="1"/>
  <c r="M59" i="12" s="1"/>
  <c r="M60" i="12" a="1"/>
  <c r="M60" i="12" s="1"/>
  <c r="M61" i="12" a="1"/>
  <c r="M61" i="12" s="1"/>
  <c r="M62" i="12" a="1"/>
  <c r="M62" i="12" s="1"/>
  <c r="M63" i="12" a="1"/>
  <c r="M63" i="12" s="1"/>
  <c r="M64" i="12" a="1"/>
  <c r="M64" i="12" s="1"/>
  <c r="M65" i="12" a="1"/>
  <c r="M65" i="12" s="1"/>
  <c r="M66" i="12" a="1"/>
  <c r="M66" i="12" s="1"/>
  <c r="M67" i="12" a="1"/>
  <c r="M67" i="12" s="1"/>
  <c r="M68" i="12" a="1"/>
  <c r="M68" i="12"/>
  <c r="M69" i="12" a="1"/>
  <c r="M69" i="12" s="1"/>
  <c r="M70" i="12" a="1"/>
  <c r="M70" i="12" s="1"/>
  <c r="M71" i="12" a="1"/>
  <c r="M71" i="12" s="1"/>
  <c r="M72" i="12" a="1"/>
  <c r="M72" i="12" s="1"/>
  <c r="M73" i="12" a="1"/>
  <c r="M73" i="12" s="1"/>
  <c r="M74" i="12" a="1"/>
  <c r="M74" i="12" s="1"/>
  <c r="M75" i="12" a="1"/>
  <c r="M75" i="12" s="1"/>
  <c r="M76" i="12" a="1"/>
  <c r="M76" i="12" s="1"/>
  <c r="M77" i="12" a="1"/>
  <c r="M77" i="12" s="1"/>
  <c r="M78" i="12" a="1"/>
  <c r="M78" i="12" s="1"/>
  <c r="M79" i="12" a="1"/>
  <c r="M79" i="12" s="1"/>
  <c r="M80" i="12" a="1"/>
  <c r="M80" i="12" s="1"/>
  <c r="M81" i="12" a="1"/>
  <c r="M81" i="12" s="1"/>
  <c r="M82" i="12" a="1"/>
  <c r="M82" i="12" s="1"/>
  <c r="M83" i="12" a="1"/>
  <c r="M83" i="12"/>
  <c r="M84" i="12" a="1"/>
  <c r="M84" i="12" s="1"/>
  <c r="M85" i="12" a="1"/>
  <c r="M85" i="12" s="1"/>
  <c r="M86" i="12" a="1"/>
  <c r="M86" i="12" s="1"/>
  <c r="M87" i="12" a="1"/>
  <c r="M87" i="12" s="1"/>
  <c r="M88" i="12" a="1"/>
  <c r="M88" i="12" s="1"/>
  <c r="M89" i="12" a="1"/>
  <c r="M89" i="12" s="1"/>
  <c r="M90" i="12" a="1"/>
  <c r="M90" i="12" s="1"/>
  <c r="M91" i="12" a="1"/>
  <c r="M91" i="12"/>
  <c r="M92" i="12" a="1"/>
  <c r="M92" i="12" s="1"/>
  <c r="M93" i="12" a="1"/>
  <c r="M93" i="12" s="1"/>
  <c r="M94" i="12" a="1"/>
  <c r="M94" i="12" s="1"/>
  <c r="M95" i="12" a="1"/>
  <c r="M95" i="12" s="1"/>
  <c r="M96" i="12" a="1"/>
  <c r="M96" i="12"/>
  <c r="M97" i="12" a="1"/>
  <c r="M97" i="12" s="1"/>
  <c r="M98" i="12" a="1"/>
  <c r="M98" i="12" s="1"/>
  <c r="M99" i="12" a="1"/>
  <c r="M99" i="12" s="1"/>
  <c r="M100" i="12" a="1"/>
  <c r="M100" i="12" s="1"/>
  <c r="M101" i="12" a="1"/>
  <c r="M101" i="12" s="1"/>
  <c r="M102" i="12" a="1"/>
  <c r="M102" i="12" s="1"/>
  <c r="M103" i="12" a="1"/>
  <c r="M103" i="12" s="1"/>
  <c r="M104" i="12" a="1"/>
  <c r="M104" i="12"/>
  <c r="M105" i="12" a="1"/>
  <c r="M105" i="12" s="1"/>
  <c r="M106" i="12" a="1"/>
  <c r="M106" i="12" s="1"/>
  <c r="M107" i="12" a="1"/>
  <c r="M107" i="12" s="1"/>
  <c r="M108" i="12" a="1"/>
  <c r="M108" i="12" s="1"/>
  <c r="M109" i="12" a="1"/>
  <c r="M109" i="12" s="1"/>
  <c r="M110" i="12" a="1"/>
  <c r="M110" i="12" s="1"/>
  <c r="M111" i="12" a="1"/>
  <c r="M111" i="12" s="1"/>
  <c r="M112" i="12" a="1"/>
  <c r="M112" i="12" s="1"/>
  <c r="M113" i="12" a="1"/>
  <c r="M113" i="12"/>
  <c r="M114" i="12" a="1"/>
  <c r="M114" i="12" s="1"/>
  <c r="M115" i="12" a="1"/>
  <c r="M115" i="12" s="1"/>
  <c r="M116" i="12" a="1"/>
  <c r="M116" i="12" s="1"/>
  <c r="M117" i="12" a="1"/>
  <c r="M117" i="12" s="1"/>
  <c r="M118" i="12" a="1"/>
  <c r="M118" i="12" s="1"/>
  <c r="M119" i="12" a="1"/>
  <c r="M119" i="12" s="1"/>
  <c r="M120" i="12" a="1"/>
  <c r="M120" i="12" s="1"/>
  <c r="M121" i="12" a="1"/>
  <c r="M121" i="12" s="1"/>
  <c r="M122" i="12" a="1"/>
  <c r="M122" i="12"/>
  <c r="M123" i="12" a="1"/>
  <c r="M123" i="12" s="1"/>
  <c r="M124" i="12" a="1"/>
  <c r="M124" i="12" s="1"/>
  <c r="M125" i="12" a="1"/>
  <c r="M125" i="12" s="1"/>
  <c r="M126" i="12" a="1"/>
  <c r="M126" i="12" s="1"/>
  <c r="M127" i="12" a="1"/>
  <c r="M127" i="12" s="1"/>
  <c r="M128" i="12" a="1"/>
  <c r="M128" i="12" s="1"/>
  <c r="M129" i="12" a="1"/>
  <c r="M129" i="12" s="1"/>
  <c r="M130" i="12" a="1"/>
  <c r="M130" i="12" s="1"/>
  <c r="M131" i="12" a="1"/>
  <c r="M131" i="12" s="1"/>
  <c r="M132" i="12" a="1"/>
  <c r="M132" i="12" s="1"/>
  <c r="M133" i="12" a="1"/>
  <c r="M133" i="12" s="1"/>
  <c r="M134" i="12" a="1"/>
  <c r="M134" i="12"/>
  <c r="M135" i="12" a="1"/>
  <c r="M135" i="12" s="1"/>
  <c r="M136" i="12" a="1"/>
  <c r="M136" i="12" s="1"/>
  <c r="M137" i="12" a="1"/>
  <c r="M137" i="12" s="1"/>
  <c r="M138" i="12" a="1"/>
  <c r="M138" i="12" s="1"/>
  <c r="M139" i="12" a="1"/>
  <c r="M139" i="12" s="1"/>
  <c r="M140" i="12" a="1"/>
  <c r="M140" i="12" s="1"/>
  <c r="M141" i="12" a="1"/>
  <c r="M141" i="12" s="1"/>
  <c r="M142" i="12" a="1"/>
  <c r="M142" i="12" s="1"/>
  <c r="M143" i="12" a="1"/>
  <c r="M143" i="12" s="1"/>
  <c r="M144" i="12" a="1"/>
  <c r="M144" i="12" s="1"/>
  <c r="M145" i="12" a="1"/>
  <c r="M145" i="12" s="1"/>
  <c r="M146" i="12" a="1"/>
  <c r="M146" i="12" s="1"/>
  <c r="M147" i="12" a="1"/>
  <c r="M147" i="12" s="1"/>
  <c r="M148" i="12" a="1"/>
  <c r="M148" i="12"/>
  <c r="M149" i="12" a="1"/>
  <c r="M149" i="12" s="1"/>
  <c r="M150" i="12" a="1"/>
  <c r="M150" i="12" s="1"/>
  <c r="M151" i="12" a="1"/>
  <c r="M151" i="12" s="1"/>
  <c r="M152" i="12" a="1"/>
  <c r="M152" i="12" s="1"/>
  <c r="M153" i="12" a="1"/>
  <c r="M153" i="12" s="1"/>
  <c r="M154" i="12" a="1"/>
  <c r="M154" i="12" s="1"/>
  <c r="M155" i="12" a="1"/>
  <c r="M155" i="12" s="1"/>
  <c r="M156" i="12" a="1"/>
  <c r="M156" i="12" s="1"/>
  <c r="M157" i="12" a="1"/>
  <c r="M157" i="12" s="1"/>
  <c r="M158" i="12" a="1"/>
  <c r="M158" i="12" s="1"/>
  <c r="M159" i="12" a="1"/>
  <c r="M159" i="12" s="1"/>
  <c r="M160" i="12" a="1"/>
  <c r="M160" i="12" s="1"/>
  <c r="M161" i="12" a="1"/>
  <c r="M161" i="12" s="1"/>
  <c r="M162" i="12" a="1"/>
  <c r="M162" i="12" s="1"/>
  <c r="M163" i="12" a="1"/>
  <c r="M163" i="12" s="1"/>
  <c r="M164" i="12" a="1"/>
  <c r="M164" i="12" s="1"/>
  <c r="M165" i="12" a="1"/>
  <c r="M165" i="12" s="1"/>
  <c r="M166" i="12" a="1"/>
  <c r="M166" i="12" s="1"/>
  <c r="M167" i="12" a="1"/>
  <c r="M167" i="12" s="1"/>
  <c r="M168" i="12" a="1"/>
  <c r="M168" i="12" s="1"/>
  <c r="M169" i="12" a="1"/>
  <c r="M169" i="12" s="1"/>
  <c r="M170" i="12" a="1"/>
  <c r="M170" i="12" s="1"/>
  <c r="M171" i="12" a="1"/>
  <c r="M171" i="12" s="1"/>
  <c r="M172" i="12" a="1"/>
  <c r="M172" i="12" s="1"/>
  <c r="M173" i="12" a="1"/>
  <c r="M173" i="12" s="1"/>
  <c r="M174" i="12" a="1"/>
  <c r="M174" i="12" s="1"/>
  <c r="M175" i="12" a="1"/>
  <c r="M175" i="12" s="1"/>
  <c r="M176" i="12" a="1"/>
  <c r="M176" i="12" s="1"/>
  <c r="M177" i="12" a="1"/>
  <c r="M177" i="12" s="1"/>
  <c r="M178" i="12" a="1"/>
  <c r="M178" i="12" s="1"/>
  <c r="M179" i="12" a="1"/>
  <c r="M179" i="12" s="1"/>
  <c r="M180" i="12" a="1"/>
  <c r="M180" i="12" s="1"/>
  <c r="M181" i="12" a="1"/>
  <c r="M181" i="12" s="1"/>
  <c r="M182" i="12" a="1"/>
  <c r="M182" i="12" s="1"/>
  <c r="M183" i="12" a="1"/>
  <c r="M183" i="12" s="1"/>
  <c r="M184" i="12" a="1"/>
  <c r="M184" i="12" s="1"/>
  <c r="M185" i="12" a="1"/>
  <c r="M185" i="12" s="1"/>
  <c r="M186" i="12" a="1"/>
  <c r="M186" i="12" s="1"/>
  <c r="M187" i="12" a="1"/>
  <c r="M187" i="12" s="1"/>
  <c r="M188" i="12" a="1"/>
  <c r="M188" i="12" s="1"/>
  <c r="M189" i="12" a="1"/>
  <c r="M189" i="12" s="1"/>
  <c r="M190" i="12" a="1"/>
  <c r="M190" i="12" s="1"/>
  <c r="M191" i="12" a="1"/>
  <c r="M191" i="12" s="1"/>
  <c r="M192" i="12" a="1"/>
  <c r="M192" i="12" s="1"/>
  <c r="M193" i="12" a="1"/>
  <c r="M193" i="12" s="1"/>
  <c r="M194" i="12" a="1"/>
  <c r="M194" i="12" s="1"/>
  <c r="M195" i="12" a="1"/>
  <c r="M195" i="12" s="1"/>
  <c r="M196" i="12" a="1"/>
  <c r="M196" i="12" s="1"/>
  <c r="M197" i="12" a="1"/>
  <c r="M197" i="12"/>
  <c r="M198" i="12" a="1"/>
  <c r="M198" i="12"/>
  <c r="M199" i="12" a="1"/>
  <c r="M199" i="12" s="1"/>
  <c r="M200" i="12" a="1"/>
  <c r="M200" i="12" s="1"/>
  <c r="M201" i="12" a="1"/>
  <c r="M201" i="12" s="1"/>
  <c r="M202" i="12" a="1"/>
  <c r="M202" i="12" s="1"/>
  <c r="M203" i="12" a="1"/>
  <c r="M203" i="12" s="1"/>
  <c r="M204" i="12" a="1"/>
  <c r="M204" i="12" s="1"/>
  <c r="M205" i="12" a="1"/>
  <c r="M205" i="12" s="1"/>
  <c r="M206" i="12" a="1"/>
  <c r="M206" i="12" s="1"/>
  <c r="M207" i="12" a="1"/>
  <c r="M207" i="12" s="1"/>
  <c r="M208" i="12" a="1"/>
  <c r="M208" i="12" s="1"/>
  <c r="M209" i="12" a="1"/>
  <c r="M209" i="12" s="1"/>
  <c r="M210" i="12" a="1"/>
  <c r="M210" i="12" s="1"/>
  <c r="M211" i="12" a="1"/>
  <c r="M211" i="12" s="1"/>
  <c r="M212" i="12" a="1"/>
  <c r="M212" i="12"/>
  <c r="M213" i="12" a="1"/>
  <c r="M213" i="12" s="1"/>
  <c r="M214" i="12" a="1"/>
  <c r="M214" i="12" s="1"/>
  <c r="M215" i="12" a="1"/>
  <c r="M215" i="12" s="1"/>
  <c r="M216" i="12" a="1"/>
  <c r="M216" i="12" s="1"/>
  <c r="M217" i="12" a="1"/>
  <c r="M217" i="12"/>
  <c r="M218" i="12" a="1"/>
  <c r="M218" i="12" s="1"/>
  <c r="M219" i="12" a="1"/>
  <c r="M219" i="12" s="1"/>
  <c r="M220" i="12" a="1"/>
  <c r="M220" i="12" s="1"/>
  <c r="M221" i="12" a="1"/>
  <c r="M221" i="12" s="1"/>
  <c r="M222" i="12" a="1"/>
  <c r="M222" i="12" s="1"/>
  <c r="M223" i="12" a="1"/>
  <c r="M223" i="12"/>
  <c r="M224" i="12" a="1"/>
  <c r="M224" i="12" s="1"/>
  <c r="M225" i="12" a="1"/>
  <c r="M225" i="12" s="1"/>
  <c r="M226" i="12" a="1"/>
  <c r="M226" i="12" s="1"/>
  <c r="M227" i="12" a="1"/>
  <c r="M227" i="12"/>
  <c r="M228" i="12" a="1"/>
  <c r="M228" i="12" s="1"/>
  <c r="M229" i="12" a="1"/>
  <c r="M229" i="12" s="1"/>
  <c r="M230" i="12" a="1"/>
  <c r="M230" i="12" s="1"/>
  <c r="M231" i="12" a="1"/>
  <c r="M231" i="12" s="1"/>
  <c r="M232" i="12" a="1"/>
  <c r="M232" i="12"/>
  <c r="M233" i="12" a="1"/>
  <c r="M233" i="12" s="1"/>
  <c r="M234" i="12" a="1"/>
  <c r="M234" i="12" s="1"/>
  <c r="M235" i="12" a="1"/>
  <c r="M235" i="12" s="1"/>
  <c r="M236" i="12" a="1"/>
  <c r="M236" i="12" s="1"/>
  <c r="M237" i="12" a="1"/>
  <c r="M237" i="12" s="1"/>
  <c r="M238" i="12" a="1"/>
  <c r="M238" i="12"/>
  <c r="M239" i="12" a="1"/>
  <c r="M239" i="12" s="1"/>
  <c r="M240" i="12" a="1"/>
  <c r="M240" i="12" s="1"/>
  <c r="M241" i="12" a="1"/>
  <c r="M241" i="12" s="1"/>
  <c r="M242" i="12" a="1"/>
  <c r="M242" i="12" s="1"/>
  <c r="M243" i="12" a="1"/>
  <c r="M243" i="12" s="1"/>
  <c r="M244" i="12" a="1"/>
  <c r="M244" i="12" s="1"/>
  <c r="M245" i="12" a="1"/>
  <c r="M245" i="12" s="1"/>
  <c r="M246" i="12" a="1"/>
  <c r="M246" i="12" s="1"/>
  <c r="M247" i="12" a="1"/>
  <c r="M247" i="12" s="1"/>
  <c r="M248" i="12" a="1"/>
  <c r="M248" i="12" s="1"/>
  <c r="M249" i="12" a="1"/>
  <c r="M249" i="12" s="1"/>
  <c r="M250" i="12" a="1"/>
  <c r="M250" i="12" s="1"/>
  <c r="M251" i="12" a="1"/>
  <c r="M251" i="12"/>
  <c r="M252" i="12" a="1"/>
  <c r="M252" i="12" s="1"/>
  <c r="M253" i="12" a="1"/>
  <c r="M253" i="12"/>
  <c r="M254" i="12" a="1"/>
  <c r="M254" i="12" s="1"/>
  <c r="M255" i="12" a="1"/>
  <c r="M255" i="12" s="1"/>
  <c r="M256" i="12" a="1"/>
  <c r="M256" i="12" s="1"/>
  <c r="M257" i="12" a="1"/>
  <c r="M257" i="12" s="1"/>
  <c r="M258" i="12" a="1"/>
  <c r="M258" i="12"/>
  <c r="M259" i="12" a="1"/>
  <c r="M259" i="12" s="1"/>
  <c r="M260" i="12" a="1"/>
  <c r="M260" i="12" s="1"/>
  <c r="M261" i="12" a="1"/>
  <c r="M261" i="12" s="1"/>
  <c r="M262" i="12" a="1"/>
  <c r="M262" i="12" s="1"/>
  <c r="M263" i="12" a="1"/>
  <c r="M263" i="12" s="1"/>
  <c r="M264" i="12" a="1"/>
  <c r="M264" i="12" s="1"/>
  <c r="M265" i="12" a="1"/>
  <c r="M265" i="12" s="1"/>
  <c r="M266" i="12" a="1"/>
  <c r="M266" i="12" s="1"/>
  <c r="M267" i="12" a="1"/>
  <c r="M267" i="12" s="1"/>
  <c r="M268" i="12" a="1"/>
  <c r="M268" i="12" s="1"/>
  <c r="M269" i="12" a="1"/>
  <c r="M269" i="12" s="1"/>
  <c r="M270" i="12" a="1"/>
  <c r="M270" i="12" s="1"/>
  <c r="M271" i="12" a="1"/>
  <c r="M271" i="12" s="1"/>
  <c r="M272" i="12" a="1"/>
  <c r="M272" i="12" s="1"/>
  <c r="M273" i="12" a="1"/>
  <c r="M273" i="12" s="1"/>
  <c r="M274" i="12" a="1"/>
  <c r="M274" i="12" s="1"/>
  <c r="M275" i="12" a="1"/>
  <c r="M275" i="12" s="1"/>
  <c r="M276" i="12" a="1"/>
  <c r="M276" i="12" s="1"/>
  <c r="M277" i="12" a="1"/>
  <c r="M277" i="12" s="1"/>
  <c r="M278" i="12" a="1"/>
  <c r="M278" i="12" s="1"/>
  <c r="M279" i="12" a="1"/>
  <c r="M279" i="12" s="1"/>
  <c r="M280" i="12" a="1"/>
  <c r="M280" i="12" s="1"/>
  <c r="M281" i="12" a="1"/>
  <c r="M281" i="12" s="1"/>
  <c r="M282" i="12" a="1"/>
  <c r="M282" i="12" s="1"/>
  <c r="M283" i="12" a="1"/>
  <c r="M283" i="12" s="1"/>
  <c r="M284" i="12" a="1"/>
  <c r="M284" i="12" s="1"/>
  <c r="M285" i="12" a="1"/>
  <c r="M285" i="12" s="1"/>
  <c r="M286" i="12" a="1"/>
  <c r="M286" i="12" s="1"/>
  <c r="M287" i="12" a="1"/>
  <c r="M287" i="12" s="1"/>
  <c r="M288" i="12" a="1"/>
  <c r="M288" i="12" s="1"/>
  <c r="M289" i="12" a="1"/>
  <c r="M289" i="12" s="1"/>
  <c r="M290" i="12" a="1"/>
  <c r="M290" i="12" s="1"/>
  <c r="M291" i="12" a="1"/>
  <c r="M291" i="12" s="1"/>
  <c r="M292" i="12" a="1"/>
  <c r="M292" i="12" s="1"/>
  <c r="M293" i="12" a="1"/>
  <c r="M293" i="12" s="1"/>
  <c r="M294" i="12" a="1"/>
  <c r="M294" i="12" s="1"/>
  <c r="M295" i="12" a="1"/>
  <c r="M295" i="12" s="1"/>
  <c r="M296" i="12" a="1"/>
  <c r="M296" i="12" s="1"/>
  <c r="M297" i="12" a="1"/>
  <c r="M297" i="12" s="1"/>
  <c r="M298" i="12" a="1"/>
  <c r="M298" i="12" s="1"/>
  <c r="M299" i="12" a="1"/>
  <c r="M299" i="12"/>
  <c r="M300" i="12" a="1"/>
  <c r="M300" i="12" s="1"/>
  <c r="M301" i="12" a="1"/>
  <c r="M301" i="12" s="1"/>
  <c r="M302" i="12" a="1"/>
  <c r="M302" i="12" s="1"/>
  <c r="M303" i="12" a="1"/>
  <c r="M303" i="12" s="1"/>
  <c r="M304" i="12" a="1"/>
  <c r="M304" i="12" s="1"/>
  <c r="M305" i="12" a="1"/>
  <c r="M305" i="12" s="1"/>
  <c r="M306" i="12" a="1"/>
  <c r="M306" i="12" s="1"/>
  <c r="M307" i="12" a="1"/>
  <c r="M307" i="12" s="1"/>
  <c r="M308" i="12" a="1"/>
  <c r="M308" i="12" s="1"/>
  <c r="M309" i="12" a="1"/>
  <c r="M309" i="12" s="1"/>
  <c r="M310" i="12" a="1"/>
  <c r="M310" i="12" s="1"/>
  <c r="M311" i="12" a="1"/>
  <c r="M311" i="12" s="1"/>
  <c r="M312" i="12" a="1"/>
  <c r="M312" i="12" s="1"/>
  <c r="M313" i="12" a="1"/>
  <c r="M313" i="12" s="1"/>
  <c r="M314" i="12" a="1"/>
  <c r="M314" i="12" s="1"/>
  <c r="M315" i="12" a="1"/>
  <c r="M315" i="12" s="1"/>
  <c r="M316" i="12" a="1"/>
  <c r="M316" i="12" s="1"/>
  <c r="M317" i="12" a="1"/>
  <c r="M317" i="12" s="1"/>
  <c r="M318" i="12" a="1"/>
  <c r="M318" i="12" s="1"/>
  <c r="M319" i="12" a="1"/>
  <c r="M319" i="12" s="1"/>
  <c r="M320" i="12" a="1"/>
  <c r="M320" i="12" s="1"/>
  <c r="M321" i="12" a="1"/>
  <c r="M321" i="12" s="1"/>
  <c r="M322" i="12" a="1"/>
  <c r="M322" i="12" s="1"/>
  <c r="M323" i="12" a="1"/>
  <c r="M323" i="12" s="1"/>
  <c r="M324" i="12" a="1"/>
  <c r="M324" i="12" s="1"/>
  <c r="M325" i="12" a="1"/>
  <c r="M325" i="12" s="1"/>
  <c r="M326" i="12" a="1"/>
  <c r="M326" i="12" s="1"/>
  <c r="M327" i="12" a="1"/>
  <c r="M327" i="12" s="1"/>
  <c r="M328" i="12" a="1"/>
  <c r="M328" i="12" s="1"/>
  <c r="M329" i="12" a="1"/>
  <c r="M329" i="12" s="1"/>
  <c r="M330" i="12" a="1"/>
  <c r="M330" i="12" s="1"/>
  <c r="M331" i="12" a="1"/>
  <c r="M331" i="12" s="1"/>
  <c r="M332" i="12" a="1"/>
  <c r="M332" i="12" s="1"/>
  <c r="M333" i="12" a="1"/>
  <c r="M333" i="12" s="1"/>
  <c r="M334" i="12" a="1"/>
  <c r="M334" i="12" s="1"/>
  <c r="M335" i="12" a="1"/>
  <c r="M335" i="12"/>
  <c r="M336" i="12" a="1"/>
  <c r="M336" i="12" s="1"/>
  <c r="M337" i="12" a="1"/>
  <c r="M337" i="12" s="1"/>
  <c r="M338" i="12" a="1"/>
  <c r="M338" i="12" s="1"/>
  <c r="M339" i="12" a="1"/>
  <c r="M339" i="12" s="1"/>
  <c r="M340" i="12" a="1"/>
  <c r="M340" i="12" s="1"/>
  <c r="M341" i="12" a="1"/>
  <c r="M341" i="12" s="1"/>
  <c r="M342" i="12" a="1"/>
  <c r="M342" i="12" s="1"/>
  <c r="M343" i="12" a="1"/>
  <c r="M343" i="12" s="1"/>
  <c r="M344" i="12" a="1"/>
  <c r="M344" i="12" s="1"/>
  <c r="M345" i="12" a="1"/>
  <c r="M345" i="12" s="1"/>
  <c r="M346" i="12" a="1"/>
  <c r="M346" i="12" s="1"/>
  <c r="M347" i="12" a="1"/>
  <c r="M347" i="12" s="1"/>
  <c r="M348" i="12" a="1"/>
  <c r="M348" i="12" s="1"/>
  <c r="M349" i="12" a="1"/>
  <c r="M349" i="12" s="1"/>
  <c r="M350" i="12" a="1"/>
  <c r="M350" i="12" s="1"/>
  <c r="M351" i="12" a="1"/>
  <c r="M351" i="12" s="1"/>
  <c r="M352" i="12" a="1"/>
  <c r="M352" i="12" s="1"/>
  <c r="M353" i="12" a="1"/>
  <c r="M353" i="12" s="1"/>
  <c r="M354" i="12" a="1"/>
  <c r="M354" i="12" s="1"/>
  <c r="M355" i="12" a="1"/>
  <c r="M355" i="12" s="1"/>
  <c r="M356" i="12" a="1"/>
  <c r="M356" i="12"/>
  <c r="M357" i="12" a="1"/>
  <c r="M357" i="12" s="1"/>
  <c r="M358" i="12" a="1"/>
  <c r="M358" i="12" s="1"/>
  <c r="M359" i="12" a="1"/>
  <c r="M359" i="12" s="1"/>
  <c r="M360" i="12" a="1"/>
  <c r="M360" i="12" s="1"/>
  <c r="M361" i="12" a="1"/>
  <c r="M361" i="12" s="1"/>
  <c r="M362" i="12" a="1"/>
  <c r="M362" i="12" s="1"/>
  <c r="M363" i="12" a="1"/>
  <c r="M363" i="12" s="1"/>
  <c r="M364" i="12" a="1"/>
  <c r="M364" i="12" s="1"/>
  <c r="M365" i="12" a="1"/>
  <c r="M365" i="12" s="1"/>
  <c r="M366" i="12" a="1"/>
  <c r="M366" i="12" s="1"/>
  <c r="M367" i="12" a="1"/>
  <c r="M367" i="12" s="1"/>
  <c r="M368" i="12" a="1"/>
  <c r="M368" i="12" s="1"/>
  <c r="M369" i="12" a="1"/>
  <c r="M369" i="12" s="1"/>
  <c r="M370" i="12" a="1"/>
  <c r="M370" i="12" s="1"/>
  <c r="M371" i="12" a="1"/>
  <c r="M371" i="12" s="1"/>
  <c r="M372" i="12" a="1"/>
  <c r="M372" i="12" s="1"/>
  <c r="M373" i="12" a="1"/>
  <c r="M373" i="12" s="1"/>
  <c r="M374" i="12" a="1"/>
  <c r="M374" i="12" s="1"/>
  <c r="M375" i="12" a="1"/>
  <c r="M375" i="12" s="1"/>
  <c r="M376" i="12" a="1"/>
  <c r="M376" i="12" s="1"/>
  <c r="M377" i="12" a="1"/>
  <c r="M377" i="12" s="1"/>
  <c r="M378" i="12" a="1"/>
  <c r="M378" i="12" s="1"/>
  <c r="M379" i="12" a="1"/>
  <c r="M379" i="12" s="1"/>
  <c r="M380" i="12" a="1"/>
  <c r="M380" i="12" s="1"/>
  <c r="M381" i="12" a="1"/>
  <c r="M381" i="12" s="1"/>
  <c r="M382" i="12" a="1"/>
  <c r="M382" i="12" s="1"/>
  <c r="M383" i="12" a="1"/>
  <c r="M383" i="12" s="1"/>
  <c r="M384" i="12" a="1"/>
  <c r="M384" i="12" s="1"/>
  <c r="M385" i="12" a="1"/>
  <c r="M385" i="12" s="1"/>
  <c r="M386" i="12" a="1"/>
  <c r="M386" i="12" s="1"/>
  <c r="M387" i="12" a="1"/>
  <c r="M387" i="12" s="1"/>
  <c r="M388" i="12" a="1"/>
  <c r="M388" i="12" s="1"/>
  <c r="M389" i="12" a="1"/>
  <c r="M389" i="12" s="1"/>
  <c r="M390" i="12" a="1"/>
  <c r="M390" i="12" s="1"/>
  <c r="M391" i="12" a="1"/>
  <c r="M391" i="12" s="1"/>
  <c r="M392" i="12" a="1"/>
  <c r="M392" i="12" s="1"/>
  <c r="M393" i="12" a="1"/>
  <c r="M393" i="12" s="1"/>
  <c r="M394" i="12" a="1"/>
  <c r="M394" i="12" s="1"/>
  <c r="M395" i="12" a="1"/>
  <c r="M395" i="12" s="1"/>
  <c r="M396" i="12" a="1"/>
  <c r="M396" i="12" s="1"/>
  <c r="M397" i="12" a="1"/>
  <c r="M397" i="12" s="1"/>
  <c r="M398" i="12" a="1"/>
  <c r="M398" i="12" s="1"/>
  <c r="M399" i="12" a="1"/>
  <c r="M399" i="12" s="1"/>
  <c r="M400" i="12" a="1"/>
  <c r="M400" i="12"/>
  <c r="M401" i="12" a="1"/>
  <c r="M401" i="12" s="1"/>
  <c r="M402" i="12" a="1"/>
  <c r="M402" i="12" s="1"/>
  <c r="M403" i="12" a="1"/>
  <c r="M403" i="12" s="1"/>
  <c r="M404" i="12" a="1"/>
  <c r="M404" i="12" s="1"/>
  <c r="M405" i="12" a="1"/>
  <c r="M405" i="12" s="1"/>
  <c r="M406" i="12" a="1"/>
  <c r="M406" i="12" s="1"/>
  <c r="M407" i="12" a="1"/>
  <c r="M407" i="12" s="1"/>
  <c r="M408" i="12" a="1"/>
  <c r="M408" i="12" s="1"/>
  <c r="M409" i="12" a="1"/>
  <c r="M409" i="12" s="1"/>
  <c r="M410" i="12" a="1"/>
  <c r="M410" i="12" s="1"/>
  <c r="M411" i="12" a="1"/>
  <c r="M411" i="12" s="1"/>
  <c r="M412" i="12" a="1"/>
  <c r="M412" i="12" s="1"/>
  <c r="M413" i="12" a="1"/>
  <c r="M413" i="12" s="1"/>
  <c r="M414" i="12" a="1"/>
  <c r="M414" i="12"/>
  <c r="M415" i="12" a="1"/>
  <c r="M415" i="12" s="1"/>
  <c r="M416" i="12" a="1"/>
  <c r="M416" i="12" s="1"/>
  <c r="M417" i="12" a="1"/>
  <c r="M417" i="12" s="1"/>
  <c r="M418" i="12" a="1"/>
  <c r="M418" i="12" s="1"/>
  <c r="M419" i="12" a="1"/>
  <c r="M419" i="12" s="1"/>
  <c r="M420" i="12" a="1"/>
  <c r="M420" i="12" s="1"/>
  <c r="M421" i="12" a="1"/>
  <c r="M421" i="12" s="1"/>
  <c r="M422" i="12" a="1"/>
  <c r="M422" i="12" s="1"/>
  <c r="M423" i="12" a="1"/>
  <c r="M423" i="12" s="1"/>
  <c r="M424" i="12" a="1"/>
  <c r="M424" i="12" s="1"/>
  <c r="M425" i="12" a="1"/>
  <c r="M425" i="12" s="1"/>
  <c r="M426" i="12" a="1"/>
  <c r="M426" i="12"/>
  <c r="M427" i="12" a="1"/>
  <c r="M427" i="12" s="1"/>
  <c r="M428" i="12" a="1"/>
  <c r="M428" i="12" s="1"/>
  <c r="M429" i="12" a="1"/>
  <c r="M429" i="12" s="1"/>
  <c r="M430" i="12" a="1"/>
  <c r="M430" i="12" s="1"/>
  <c r="M431" i="12" a="1"/>
  <c r="M431" i="12" s="1"/>
  <c r="M432" i="12" a="1"/>
  <c r="M432" i="12" s="1"/>
  <c r="M433" i="12" a="1"/>
  <c r="M433" i="12" s="1"/>
  <c r="M434" i="12" a="1"/>
  <c r="M434" i="12" s="1"/>
  <c r="M435" i="12" a="1"/>
  <c r="M435" i="12" s="1"/>
  <c r="M436" i="12" a="1"/>
  <c r="M436" i="12" s="1"/>
  <c r="M437" i="12" a="1"/>
  <c r="M437" i="12" s="1"/>
  <c r="M438" i="12" a="1"/>
  <c r="M438" i="12" s="1"/>
  <c r="M439" i="12" a="1"/>
  <c r="M439" i="12" s="1"/>
  <c r="M440" i="12" a="1"/>
  <c r="M440" i="12" s="1"/>
  <c r="M441" i="12" a="1"/>
  <c r="M441" i="12" s="1"/>
  <c r="M442" i="12" a="1"/>
  <c r="M442" i="12" s="1"/>
  <c r="M443" i="12" a="1"/>
  <c r="M443" i="12" s="1"/>
  <c r="M444" i="12" a="1"/>
  <c r="M444" i="12" s="1"/>
  <c r="M445" i="12" a="1"/>
  <c r="M445" i="12" s="1"/>
  <c r="M446" i="12" a="1"/>
  <c r="M446" i="12" s="1"/>
  <c r="M447" i="12" a="1"/>
  <c r="M447" i="12" s="1"/>
  <c r="M448" i="12" a="1"/>
  <c r="M448" i="12"/>
  <c r="M449" i="12" a="1"/>
  <c r="M449" i="12" s="1"/>
  <c r="M450" i="12" a="1"/>
  <c r="M450" i="12" s="1"/>
  <c r="M451" i="12" a="1"/>
  <c r="M451" i="12" s="1"/>
  <c r="M452" i="12" a="1"/>
  <c r="M452" i="12" s="1"/>
  <c r="M453" i="12" a="1"/>
  <c r="M453" i="12" s="1"/>
  <c r="M454" i="12" a="1"/>
  <c r="M454" i="12" s="1"/>
  <c r="M455" i="12" a="1"/>
  <c r="M455" i="12"/>
  <c r="M456" i="12" a="1"/>
  <c r="M456" i="12" s="1"/>
  <c r="M457" i="12" a="1"/>
  <c r="M457" i="12" s="1"/>
  <c r="M458" i="12" a="1"/>
  <c r="M458" i="12" s="1"/>
  <c r="M459" i="12" a="1"/>
  <c r="M459" i="12" s="1"/>
  <c r="M460" i="12" a="1"/>
  <c r="M460" i="12"/>
  <c r="M461" i="12" a="1"/>
  <c r="M461" i="12" s="1"/>
  <c r="M462" i="12" a="1"/>
  <c r="M462" i="12" s="1"/>
  <c r="M463" i="12" a="1"/>
  <c r="M463" i="12" s="1"/>
  <c r="M464" i="12" a="1"/>
  <c r="M464" i="12" s="1"/>
  <c r="M465" i="12" a="1"/>
  <c r="M465" i="12" s="1"/>
  <c r="M466" i="12" a="1"/>
  <c r="M466" i="12" s="1"/>
  <c r="M467" i="12" a="1"/>
  <c r="M467" i="12" s="1"/>
  <c r="M468" i="12" a="1"/>
  <c r="M468" i="12" s="1"/>
  <c r="M469" i="12" a="1"/>
  <c r="M469" i="12" s="1"/>
  <c r="M470" i="12" a="1"/>
  <c r="M470" i="12" s="1"/>
  <c r="M471" i="12" a="1"/>
  <c r="M471" i="12" s="1"/>
  <c r="M472" i="12" a="1"/>
  <c r="M472" i="12" s="1"/>
  <c r="M473" i="12" a="1"/>
  <c r="M473" i="12"/>
  <c r="M474" i="12" a="1"/>
  <c r="M474" i="12" s="1"/>
  <c r="M475" i="12" a="1"/>
  <c r="M475" i="12" s="1"/>
  <c r="M476" i="12" a="1"/>
  <c r="M476" i="12" s="1"/>
  <c r="M477" i="12" a="1"/>
  <c r="M477" i="12" s="1"/>
  <c r="M478" i="12" a="1"/>
  <c r="M478" i="12" s="1"/>
  <c r="L6" i="12" a="1"/>
  <c r="L6" i="12" s="1"/>
  <c r="O3" i="12"/>
  <c r="O4" i="12"/>
  <c r="O5"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405" i="12"/>
  <c r="O406" i="12"/>
  <c r="O407" i="12"/>
  <c r="O408" i="12"/>
  <c r="O409" i="12"/>
  <c r="O410" i="12"/>
  <c r="O411" i="12"/>
  <c r="O412" i="12"/>
  <c r="O413" i="12"/>
  <c r="O414" i="12"/>
  <c r="O415" i="12"/>
  <c r="O416" i="12"/>
  <c r="O417" i="12"/>
  <c r="O418" i="12"/>
  <c r="O419" i="12"/>
  <c r="O420" i="12"/>
  <c r="O421" i="12"/>
  <c r="O422" i="12"/>
  <c r="O423" i="12"/>
  <c r="O424" i="12"/>
  <c r="O425" i="12"/>
  <c r="O426" i="12"/>
  <c r="O427" i="12"/>
  <c r="O428" i="12"/>
  <c r="O429" i="12"/>
  <c r="O430" i="12"/>
  <c r="O431" i="12"/>
  <c r="O432" i="12"/>
  <c r="O433" i="12"/>
  <c r="O434" i="12"/>
  <c r="O435" i="12"/>
  <c r="O436" i="12"/>
  <c r="O437" i="12"/>
  <c r="O438" i="12"/>
  <c r="O439" i="12"/>
  <c r="O440" i="12"/>
  <c r="O441" i="12"/>
  <c r="O442" i="12"/>
  <c r="O443" i="12"/>
  <c r="O444" i="12"/>
  <c r="O445" i="12"/>
  <c r="O446" i="12"/>
  <c r="O447" i="12"/>
  <c r="O448" i="12"/>
  <c r="O449" i="12"/>
  <c r="O450" i="12"/>
  <c r="O451" i="12"/>
  <c r="O452" i="12"/>
  <c r="O453" i="12"/>
  <c r="O454" i="12"/>
  <c r="O455" i="12"/>
  <c r="O456" i="12"/>
  <c r="O457" i="12"/>
  <c r="O458" i="12"/>
  <c r="O459" i="12"/>
  <c r="O460" i="12"/>
  <c r="O461" i="12"/>
  <c r="O462" i="12"/>
  <c r="O463" i="12"/>
  <c r="O464" i="12"/>
  <c r="O465" i="12"/>
  <c r="O466" i="12"/>
  <c r="O467" i="12"/>
  <c r="O468" i="12"/>
  <c r="O469" i="12"/>
  <c r="O470" i="12"/>
  <c r="O471" i="12"/>
  <c r="O472" i="12"/>
  <c r="O473" i="12"/>
  <c r="O474" i="12"/>
  <c r="O475" i="12"/>
  <c r="O476" i="12"/>
  <c r="O477" i="12"/>
  <c r="O478" i="12"/>
  <c r="O2"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405" i="12"/>
  <c r="N406" i="12"/>
  <c r="N407" i="12"/>
  <c r="N408" i="12"/>
  <c r="N409" i="12"/>
  <c r="N410" i="12"/>
  <c r="N411" i="12"/>
  <c r="N412" i="12"/>
  <c r="N413" i="12"/>
  <c r="N414" i="12"/>
  <c r="N415" i="12"/>
  <c r="N416" i="12"/>
  <c r="N417" i="12"/>
  <c r="N418" i="12"/>
  <c r="N419" i="12"/>
  <c r="N420" i="12"/>
  <c r="N421" i="12"/>
  <c r="N422" i="12"/>
  <c r="N423" i="12"/>
  <c r="N424" i="12"/>
  <c r="N425" i="12"/>
  <c r="N426" i="12"/>
  <c r="N427" i="12"/>
  <c r="N428" i="12"/>
  <c r="N429" i="12"/>
  <c r="N430" i="12"/>
  <c r="N431" i="12"/>
  <c r="N432" i="12"/>
  <c r="N433" i="12"/>
  <c r="N434" i="12"/>
  <c r="N435" i="12"/>
  <c r="N436" i="12"/>
  <c r="N437" i="12"/>
  <c r="N438" i="12"/>
  <c r="N439" i="12"/>
  <c r="N440" i="12"/>
  <c r="N441" i="12"/>
  <c r="N442" i="12"/>
  <c r="N443" i="12"/>
  <c r="N444" i="12"/>
  <c r="N445" i="12"/>
  <c r="N446" i="12"/>
  <c r="N447" i="12"/>
  <c r="N448" i="12"/>
  <c r="N449" i="12"/>
  <c r="N450" i="12"/>
  <c r="N451" i="12"/>
  <c r="N452" i="12"/>
  <c r="N453" i="12"/>
  <c r="N454" i="12"/>
  <c r="N455" i="12"/>
  <c r="N456" i="12"/>
  <c r="N457" i="12"/>
  <c r="N458" i="12"/>
  <c r="N459" i="12"/>
  <c r="N460" i="12"/>
  <c r="N461" i="12"/>
  <c r="N462" i="12"/>
  <c r="N463" i="12"/>
  <c r="N464" i="12"/>
  <c r="N465" i="12"/>
  <c r="N466" i="12"/>
  <c r="N467" i="12"/>
  <c r="N468" i="12"/>
  <c r="N469" i="12"/>
  <c r="N470" i="12"/>
  <c r="N471" i="12"/>
  <c r="N472" i="12"/>
  <c r="N473" i="12"/>
  <c r="N474" i="12"/>
  <c r="N475" i="12"/>
  <c r="N476" i="12"/>
  <c r="N477" i="12"/>
  <c r="N478" i="12"/>
  <c r="N2" i="12"/>
  <c r="M2" i="12" a="1"/>
  <c r="M2" i="12" s="1"/>
  <c r="L3" i="12" a="1"/>
  <c r="L3" i="12" s="1"/>
  <c r="L4" i="12" a="1"/>
  <c r="L4" i="12" s="1"/>
  <c r="L5" i="12" a="1"/>
  <c r="L5" i="12" s="1"/>
  <c r="L7" i="12" a="1"/>
  <c r="L7" i="12" s="1"/>
  <c r="L8" i="12" a="1"/>
  <c r="L8" i="12" s="1"/>
  <c r="L9" i="12" a="1"/>
  <c r="L9" i="12" s="1"/>
  <c r="L10" i="12" a="1"/>
  <c r="L10" i="12" s="1"/>
  <c r="L11" i="12" a="1"/>
  <c r="L11" i="12" s="1"/>
  <c r="L12" i="12" a="1"/>
  <c r="L12" i="12" s="1"/>
  <c r="L13" i="12" a="1"/>
  <c r="L13" i="12" s="1"/>
  <c r="L14" i="12" a="1"/>
  <c r="L14" i="12" s="1"/>
  <c r="L15" i="12" a="1"/>
  <c r="L15" i="12" s="1"/>
  <c r="L16" i="12" a="1"/>
  <c r="L16" i="12" s="1"/>
  <c r="L17" i="12" a="1"/>
  <c r="L17" i="12" s="1"/>
  <c r="L18" i="12" a="1"/>
  <c r="L18" i="12" s="1"/>
  <c r="L19" i="12" a="1"/>
  <c r="L19" i="12" s="1"/>
  <c r="L20" i="12" a="1"/>
  <c r="L20" i="12" s="1"/>
  <c r="L21" i="12" a="1"/>
  <c r="L21" i="12" s="1"/>
  <c r="L22" i="12" a="1"/>
  <c r="L22" i="12" s="1"/>
  <c r="L23" i="12" a="1"/>
  <c r="L23" i="12" s="1"/>
  <c r="L24" i="12" a="1"/>
  <c r="L24" i="12" s="1"/>
  <c r="L25" i="12" a="1"/>
  <c r="L25" i="12" s="1"/>
  <c r="L27" i="12" a="1"/>
  <c r="L27" i="12" s="1"/>
  <c r="L28" i="12" a="1"/>
  <c r="L28" i="12" s="1"/>
  <c r="L29" i="12" a="1"/>
  <c r="L29" i="12" s="1"/>
  <c r="L30" i="12" a="1"/>
  <c r="L30" i="12" s="1"/>
  <c r="L31" i="12" a="1"/>
  <c r="L31" i="12" s="1"/>
  <c r="L32" i="12" a="1"/>
  <c r="L32" i="12" s="1"/>
  <c r="L33" i="12" a="1"/>
  <c r="L33" i="12" s="1"/>
  <c r="L34" i="12" a="1"/>
  <c r="L34" i="12" s="1"/>
  <c r="L35" i="12" a="1"/>
  <c r="L35" i="12" s="1"/>
  <c r="L36" i="12" a="1"/>
  <c r="L36" i="12" s="1"/>
  <c r="L37" i="12" a="1"/>
  <c r="L37" i="12" s="1"/>
  <c r="L38" i="12" a="1"/>
  <c r="L38" i="12" s="1"/>
  <c r="L39" i="12" a="1"/>
  <c r="L39" i="12" s="1"/>
  <c r="L40" i="12" a="1"/>
  <c r="L40" i="12" s="1"/>
  <c r="L41" i="12" a="1"/>
  <c r="L41" i="12" s="1"/>
  <c r="L42" i="12" a="1"/>
  <c r="L42" i="12" s="1"/>
  <c r="L43" i="12" a="1"/>
  <c r="L43" i="12" s="1"/>
  <c r="L44" i="12" a="1"/>
  <c r="L44" i="12" s="1"/>
  <c r="L45" i="12" a="1"/>
  <c r="L45" i="12" s="1"/>
  <c r="L46" i="12" a="1"/>
  <c r="L46" i="12" s="1"/>
  <c r="L47" i="12" a="1"/>
  <c r="L47" i="12" s="1"/>
  <c r="L48" i="12" a="1"/>
  <c r="L48" i="12" s="1"/>
  <c r="L49" i="12" a="1"/>
  <c r="L49" i="12" s="1"/>
  <c r="L50" i="12" a="1"/>
  <c r="L50" i="12" s="1"/>
  <c r="L51" i="12" a="1"/>
  <c r="L51" i="12" s="1"/>
  <c r="L52" i="12" a="1"/>
  <c r="L52" i="12" s="1"/>
  <c r="L53" i="12" a="1"/>
  <c r="L53" i="12" s="1"/>
  <c r="L54" i="12" a="1"/>
  <c r="L54" i="12" s="1"/>
  <c r="L55" i="12" a="1"/>
  <c r="L55" i="12" s="1"/>
  <c r="L56" i="12" a="1"/>
  <c r="L56" i="12" s="1"/>
  <c r="L57" i="12" a="1"/>
  <c r="L57" i="12" s="1"/>
  <c r="L58" i="12" a="1"/>
  <c r="L58" i="12" s="1"/>
  <c r="L59" i="12" a="1"/>
  <c r="L59" i="12" s="1"/>
  <c r="L60" i="12" a="1"/>
  <c r="L60" i="12" s="1"/>
  <c r="L61" i="12" a="1"/>
  <c r="L61" i="12" s="1"/>
  <c r="L62" i="12" a="1"/>
  <c r="L62" i="12" s="1"/>
  <c r="L63" i="12" a="1"/>
  <c r="L63" i="12"/>
  <c r="L64" i="12" a="1"/>
  <c r="L64" i="12" s="1"/>
  <c r="L65" i="12" a="1"/>
  <c r="L65" i="12" s="1"/>
  <c r="L66" i="12" a="1"/>
  <c r="L66" i="12" s="1"/>
  <c r="L67" i="12" a="1"/>
  <c r="L67" i="12" s="1"/>
  <c r="L68" i="12" a="1"/>
  <c r="L68" i="12" s="1"/>
  <c r="L69" i="12" a="1"/>
  <c r="L69" i="12" s="1"/>
  <c r="L70" i="12" a="1"/>
  <c r="L70" i="12" s="1"/>
  <c r="L71" i="12" a="1"/>
  <c r="L71" i="12" s="1"/>
  <c r="L72" i="12" a="1"/>
  <c r="L72" i="12" s="1"/>
  <c r="L73" i="12" a="1"/>
  <c r="L73" i="12" s="1"/>
  <c r="L74" i="12" a="1"/>
  <c r="L74" i="12" s="1"/>
  <c r="L75" i="12" a="1"/>
  <c r="L75" i="12" s="1"/>
  <c r="L76" i="12" a="1"/>
  <c r="L76" i="12" s="1"/>
  <c r="L77" i="12" a="1"/>
  <c r="L77" i="12" s="1"/>
  <c r="L78" i="12" a="1"/>
  <c r="L78" i="12" s="1"/>
  <c r="L79" i="12" a="1"/>
  <c r="L79" i="12" s="1"/>
  <c r="L80" i="12" a="1"/>
  <c r="L80" i="12" s="1"/>
  <c r="L81" i="12" a="1"/>
  <c r="L81" i="12" s="1"/>
  <c r="L82" i="12" a="1"/>
  <c r="L82" i="12" s="1"/>
  <c r="L83" i="12" a="1"/>
  <c r="L83" i="12" s="1"/>
  <c r="L84" i="12" a="1"/>
  <c r="L84" i="12" s="1"/>
  <c r="L85" i="12" a="1"/>
  <c r="L85" i="12" s="1"/>
  <c r="L86" i="12" a="1"/>
  <c r="L86" i="12" s="1"/>
  <c r="L87" i="12" a="1"/>
  <c r="L87" i="12" s="1"/>
  <c r="L88" i="12" a="1"/>
  <c r="L88" i="12" s="1"/>
  <c r="L89" i="12" a="1"/>
  <c r="L89" i="12" s="1"/>
  <c r="L90" i="12" a="1"/>
  <c r="L90" i="12" s="1"/>
  <c r="L91" i="12" a="1"/>
  <c r="L91" i="12" s="1"/>
  <c r="L92" i="12" a="1"/>
  <c r="L92" i="12" s="1"/>
  <c r="L93" i="12" a="1"/>
  <c r="L93" i="12" s="1"/>
  <c r="L94" i="12" a="1"/>
  <c r="L94" i="12" s="1"/>
  <c r="L95" i="12" a="1"/>
  <c r="L95" i="12" s="1"/>
  <c r="L96" i="12" a="1"/>
  <c r="L96" i="12" s="1"/>
  <c r="L97" i="12" a="1"/>
  <c r="L97" i="12" s="1"/>
  <c r="L98" i="12" a="1"/>
  <c r="L98" i="12" s="1"/>
  <c r="L99" i="12" a="1"/>
  <c r="L99" i="12"/>
  <c r="L100" i="12" a="1"/>
  <c r="L100" i="12" s="1"/>
  <c r="L101" i="12" a="1"/>
  <c r="L101" i="12" s="1"/>
  <c r="L102" i="12" a="1"/>
  <c r="L102" i="12" s="1"/>
  <c r="L103" i="12" a="1"/>
  <c r="L103" i="12" s="1"/>
  <c r="L104" i="12" a="1"/>
  <c r="L104" i="12" s="1"/>
  <c r="L105" i="12" a="1"/>
  <c r="L105" i="12" s="1"/>
  <c r="L106" i="12" a="1"/>
  <c r="L106" i="12" s="1"/>
  <c r="L107" i="12" a="1"/>
  <c r="L107" i="12" s="1"/>
  <c r="L108" i="12" a="1"/>
  <c r="L108" i="12" s="1"/>
  <c r="L109" i="12" a="1"/>
  <c r="L109" i="12" s="1"/>
  <c r="L110" i="12" a="1"/>
  <c r="L110" i="12" s="1"/>
  <c r="L111" i="12" a="1"/>
  <c r="L111" i="12" s="1"/>
  <c r="L112" i="12" a="1"/>
  <c r="L112" i="12" s="1"/>
  <c r="L113" i="12" a="1"/>
  <c r="L113" i="12" s="1"/>
  <c r="L114" i="12" a="1"/>
  <c r="L114" i="12" s="1"/>
  <c r="L115" i="12" a="1"/>
  <c r="L115" i="12" s="1"/>
  <c r="L116" i="12" a="1"/>
  <c r="L116" i="12" s="1"/>
  <c r="L117" i="12" a="1"/>
  <c r="L117" i="12" s="1"/>
  <c r="L118" i="12" a="1"/>
  <c r="L118" i="12" s="1"/>
  <c r="L119" i="12" a="1"/>
  <c r="L119" i="12" s="1"/>
  <c r="L120" i="12" a="1"/>
  <c r="L120" i="12" s="1"/>
  <c r="L121" i="12" a="1"/>
  <c r="L121" i="12" s="1"/>
  <c r="L122" i="12" a="1"/>
  <c r="L122" i="12" s="1"/>
  <c r="L123" i="12" a="1"/>
  <c r="L123" i="12" s="1"/>
  <c r="L124" i="12" a="1"/>
  <c r="L124" i="12" s="1"/>
  <c r="L125" i="12" a="1"/>
  <c r="L125" i="12" s="1"/>
  <c r="L126" i="12" a="1"/>
  <c r="L126" i="12" s="1"/>
  <c r="L127" i="12" a="1"/>
  <c r="L127" i="12"/>
  <c r="L128" i="12" a="1"/>
  <c r="L128" i="12" s="1"/>
  <c r="L129" i="12" a="1"/>
  <c r="L129" i="12" s="1"/>
  <c r="L130" i="12" a="1"/>
  <c r="L130" i="12" s="1"/>
  <c r="L131" i="12" a="1"/>
  <c r="L131" i="12" s="1"/>
  <c r="L132" i="12" a="1"/>
  <c r="L132" i="12" s="1"/>
  <c r="L133" i="12" a="1"/>
  <c r="L133" i="12" s="1"/>
  <c r="L134" i="12" a="1"/>
  <c r="L134" i="12" s="1"/>
  <c r="L135" i="12" a="1"/>
  <c r="L135" i="12" s="1"/>
  <c r="L136" i="12" a="1"/>
  <c r="L136" i="12" s="1"/>
  <c r="L137" i="12" a="1"/>
  <c r="L137" i="12" s="1"/>
  <c r="L138" i="12" a="1"/>
  <c r="L138" i="12" s="1"/>
  <c r="L139" i="12" a="1"/>
  <c r="L139" i="12" s="1"/>
  <c r="L140" i="12" a="1"/>
  <c r="L140" i="12" s="1"/>
  <c r="L141" i="12" a="1"/>
  <c r="L141" i="12" s="1"/>
  <c r="L142" i="12" a="1"/>
  <c r="L142" i="12" s="1"/>
  <c r="L143" i="12" a="1"/>
  <c r="L143" i="12" s="1"/>
  <c r="L144" i="12" a="1"/>
  <c r="L144" i="12" s="1"/>
  <c r="L145" i="12" a="1"/>
  <c r="L145" i="12" s="1"/>
  <c r="L146" i="12" a="1"/>
  <c r="L146" i="12" s="1"/>
  <c r="L147" i="12" a="1"/>
  <c r="L147" i="12" s="1"/>
  <c r="L148" i="12" a="1"/>
  <c r="L148" i="12" s="1"/>
  <c r="L149" i="12" a="1"/>
  <c r="L149" i="12" s="1"/>
  <c r="L150" i="12" a="1"/>
  <c r="L150" i="12" s="1"/>
  <c r="L151" i="12" a="1"/>
  <c r="L151" i="12" s="1"/>
  <c r="L152" i="12" a="1"/>
  <c r="L152" i="12" s="1"/>
  <c r="L153" i="12" a="1"/>
  <c r="L153" i="12" s="1"/>
  <c r="L154" i="12" a="1"/>
  <c r="L154" i="12" s="1"/>
  <c r="L155" i="12" a="1"/>
  <c r="L155" i="12" s="1"/>
  <c r="L156" i="12" a="1"/>
  <c r="L156" i="12" s="1"/>
  <c r="L157" i="12" a="1"/>
  <c r="L157" i="12" s="1"/>
  <c r="L158" i="12" a="1"/>
  <c r="L158" i="12" s="1"/>
  <c r="L159" i="12" a="1"/>
  <c r="L159" i="12" s="1"/>
  <c r="L160" i="12" a="1"/>
  <c r="L160" i="12" s="1"/>
  <c r="L161" i="12" a="1"/>
  <c r="L161" i="12" s="1"/>
  <c r="L162" i="12" a="1"/>
  <c r="L162" i="12" s="1"/>
  <c r="L163" i="12" a="1"/>
  <c r="L163" i="12" s="1"/>
  <c r="L164" i="12" a="1"/>
  <c r="L164" i="12" s="1"/>
  <c r="L165" i="12" a="1"/>
  <c r="L165" i="12" s="1"/>
  <c r="L166" i="12" a="1"/>
  <c r="L166" i="12" s="1"/>
  <c r="L167" i="12" a="1"/>
  <c r="L167" i="12" s="1"/>
  <c r="L168" i="12" a="1"/>
  <c r="L168" i="12" s="1"/>
  <c r="L169" i="12" a="1"/>
  <c r="L169" i="12" s="1"/>
  <c r="L170" i="12" a="1"/>
  <c r="L170" i="12" s="1"/>
  <c r="L171" i="12" a="1"/>
  <c r="L171" i="12" s="1"/>
  <c r="L172" i="12" a="1"/>
  <c r="L172" i="12" s="1"/>
  <c r="L173" i="12" a="1"/>
  <c r="L173" i="12" s="1"/>
  <c r="L174" i="12" a="1"/>
  <c r="L174" i="12" s="1"/>
  <c r="L175" i="12" a="1"/>
  <c r="L175" i="12" s="1"/>
  <c r="L176" i="12" a="1"/>
  <c r="L176" i="12" s="1"/>
  <c r="L177" i="12" a="1"/>
  <c r="L177" i="12" s="1"/>
  <c r="L178" i="12" a="1"/>
  <c r="L178" i="12" s="1"/>
  <c r="L179" i="12" a="1"/>
  <c r="L179" i="12" s="1"/>
  <c r="L180" i="12" a="1"/>
  <c r="L180" i="12" s="1"/>
  <c r="L181" i="12" a="1"/>
  <c r="L181" i="12" s="1"/>
  <c r="L182" i="12" a="1"/>
  <c r="L182" i="12" s="1"/>
  <c r="L183" i="12" a="1"/>
  <c r="L183" i="12" s="1"/>
  <c r="L184" i="12" a="1"/>
  <c r="L184" i="12" s="1"/>
  <c r="L185" i="12" a="1"/>
  <c r="L185" i="12" s="1"/>
  <c r="L186" i="12" a="1"/>
  <c r="L186" i="12" s="1"/>
  <c r="L187" i="12" a="1"/>
  <c r="L187" i="12" s="1"/>
  <c r="L188" i="12" a="1"/>
  <c r="L188" i="12" s="1"/>
  <c r="L189" i="12" a="1"/>
  <c r="L189" i="12" s="1"/>
  <c r="L190" i="12" a="1"/>
  <c r="L190" i="12" s="1"/>
  <c r="L191" i="12" a="1"/>
  <c r="L191" i="12" s="1"/>
  <c r="L192" i="12" a="1"/>
  <c r="L192" i="12" s="1"/>
  <c r="L193" i="12" a="1"/>
  <c r="L193" i="12" s="1"/>
  <c r="L194" i="12" a="1"/>
  <c r="L194" i="12" s="1"/>
  <c r="L195" i="12" a="1"/>
  <c r="L195" i="12" s="1"/>
  <c r="L196" i="12" a="1"/>
  <c r="L196" i="12" s="1"/>
  <c r="L197" i="12" a="1"/>
  <c r="L197" i="12" s="1"/>
  <c r="L198" i="12" a="1"/>
  <c r="L198" i="12" s="1"/>
  <c r="L199" i="12" a="1"/>
  <c r="L199" i="12" s="1"/>
  <c r="L200" i="12" a="1"/>
  <c r="L200" i="12" s="1"/>
  <c r="L201" i="12" a="1"/>
  <c r="L201" i="12" s="1"/>
  <c r="L202" i="12" a="1"/>
  <c r="L202" i="12" s="1"/>
  <c r="L203" i="12" a="1"/>
  <c r="L203" i="12" s="1"/>
  <c r="L204" i="12" a="1"/>
  <c r="L204" i="12" s="1"/>
  <c r="L205" i="12" a="1"/>
  <c r="L205" i="12" s="1"/>
  <c r="L206" i="12" a="1"/>
  <c r="L206" i="12" s="1"/>
  <c r="L207" i="12" a="1"/>
  <c r="L207" i="12" s="1"/>
  <c r="L208" i="12" a="1"/>
  <c r="L208" i="12" s="1"/>
  <c r="L209" i="12" a="1"/>
  <c r="L209" i="12" s="1"/>
  <c r="L210" i="12" a="1"/>
  <c r="L210" i="12" s="1"/>
  <c r="L211" i="12" a="1"/>
  <c r="L211" i="12" s="1"/>
  <c r="L212" i="12" a="1"/>
  <c r="L212" i="12" s="1"/>
  <c r="L213" i="12" a="1"/>
  <c r="L213" i="12" s="1"/>
  <c r="L214" i="12" a="1"/>
  <c r="L214" i="12" s="1"/>
  <c r="L215" i="12" a="1"/>
  <c r="L215" i="12" s="1"/>
  <c r="L216" i="12" a="1"/>
  <c r="L216" i="12" s="1"/>
  <c r="L217" i="12" a="1"/>
  <c r="L217" i="12" s="1"/>
  <c r="L218" i="12" a="1"/>
  <c r="L218" i="12" s="1"/>
  <c r="L219" i="12" a="1"/>
  <c r="L219" i="12" s="1"/>
  <c r="L220" i="12" a="1"/>
  <c r="L220" i="12" s="1"/>
  <c r="L221" i="12" a="1"/>
  <c r="L221" i="12" s="1"/>
  <c r="L222" i="12" a="1"/>
  <c r="L222" i="12" s="1"/>
  <c r="L223" i="12" a="1"/>
  <c r="L223" i="12" s="1"/>
  <c r="L224" i="12" a="1"/>
  <c r="L224" i="12" s="1"/>
  <c r="L225" i="12" a="1"/>
  <c r="L225" i="12" s="1"/>
  <c r="L226" i="12" a="1"/>
  <c r="L226" i="12" s="1"/>
  <c r="L227" i="12" a="1"/>
  <c r="L227" i="12" s="1"/>
  <c r="L228" i="12" a="1"/>
  <c r="L228" i="12" s="1"/>
  <c r="L229" i="12" a="1"/>
  <c r="L229" i="12" s="1"/>
  <c r="L230" i="12" a="1"/>
  <c r="L230" i="12" s="1"/>
  <c r="L231" i="12" a="1"/>
  <c r="L231" i="12" s="1"/>
  <c r="L232" i="12" a="1"/>
  <c r="L232" i="12" s="1"/>
  <c r="L233" i="12" a="1"/>
  <c r="L233" i="12" s="1"/>
  <c r="L234" i="12" a="1"/>
  <c r="L234" i="12" s="1"/>
  <c r="L235" i="12" a="1"/>
  <c r="L235" i="12" s="1"/>
  <c r="L236" i="12" a="1"/>
  <c r="L236" i="12" s="1"/>
  <c r="L237" i="12" a="1"/>
  <c r="L237" i="12" s="1"/>
  <c r="L238" i="12" a="1"/>
  <c r="L238" i="12" s="1"/>
  <c r="L239" i="12" a="1"/>
  <c r="L239" i="12" s="1"/>
  <c r="L240" i="12" a="1"/>
  <c r="L240" i="12" s="1"/>
  <c r="L241" i="12" a="1"/>
  <c r="L241" i="12" s="1"/>
  <c r="L242" i="12" a="1"/>
  <c r="L242" i="12" s="1"/>
  <c r="L243" i="12" a="1"/>
  <c r="L243" i="12" s="1"/>
  <c r="L244" i="12" a="1"/>
  <c r="L244" i="12" s="1"/>
  <c r="L245" i="12" a="1"/>
  <c r="L245" i="12" s="1"/>
  <c r="L246" i="12" a="1"/>
  <c r="L246" i="12" s="1"/>
  <c r="L247" i="12" a="1"/>
  <c r="L247" i="12" s="1"/>
  <c r="L248" i="12" a="1"/>
  <c r="L248" i="12" s="1"/>
  <c r="L249" i="12" a="1"/>
  <c r="L249" i="12" s="1"/>
  <c r="L250" i="12" a="1"/>
  <c r="L250" i="12" s="1"/>
  <c r="L251" i="12" a="1"/>
  <c r="L251" i="12" s="1"/>
  <c r="L252" i="12" a="1"/>
  <c r="L252" i="12" s="1"/>
  <c r="L253" i="12" a="1"/>
  <c r="L253" i="12" s="1"/>
  <c r="L254" i="12" a="1"/>
  <c r="L254" i="12" s="1"/>
  <c r="L255" i="12" a="1"/>
  <c r="L255" i="12" s="1"/>
  <c r="L256" i="12" a="1"/>
  <c r="L256" i="12" s="1"/>
  <c r="L257" i="12" a="1"/>
  <c r="L257" i="12" s="1"/>
  <c r="L258" i="12" a="1"/>
  <c r="L258" i="12" s="1"/>
  <c r="L259" i="12" a="1"/>
  <c r="L259" i="12" s="1"/>
  <c r="L260" i="12" a="1"/>
  <c r="L260" i="12" s="1"/>
  <c r="L261" i="12" a="1"/>
  <c r="L261" i="12" s="1"/>
  <c r="L262" i="12" a="1"/>
  <c r="L262" i="12" s="1"/>
  <c r="L263" i="12" a="1"/>
  <c r="L263" i="12" s="1"/>
  <c r="L264" i="12" a="1"/>
  <c r="L264" i="12" s="1"/>
  <c r="L265" i="12" a="1"/>
  <c r="L265" i="12" s="1"/>
  <c r="L266" i="12" a="1"/>
  <c r="L266" i="12" s="1"/>
  <c r="L267" i="12" a="1"/>
  <c r="L267" i="12" s="1"/>
  <c r="L268" i="12" a="1"/>
  <c r="L268" i="12" s="1"/>
  <c r="L269" i="12" a="1"/>
  <c r="L269" i="12" s="1"/>
  <c r="L270" i="12" a="1"/>
  <c r="L270" i="12" s="1"/>
  <c r="L271" i="12" a="1"/>
  <c r="L271" i="12"/>
  <c r="L272" i="12" a="1"/>
  <c r="L272" i="12" s="1"/>
  <c r="L273" i="12" a="1"/>
  <c r="L273" i="12" s="1"/>
  <c r="L274" i="12" a="1"/>
  <c r="L274" i="12" s="1"/>
  <c r="L275" i="12" a="1"/>
  <c r="L275" i="12" s="1"/>
  <c r="L276" i="12" a="1"/>
  <c r="L276" i="12" s="1"/>
  <c r="L277" i="12" a="1"/>
  <c r="L277" i="12" s="1"/>
  <c r="L278" i="12" a="1"/>
  <c r="L278" i="12" s="1"/>
  <c r="L279" i="12" a="1"/>
  <c r="L279" i="12" s="1"/>
  <c r="L280" i="12" a="1"/>
  <c r="L280" i="12" s="1"/>
  <c r="L281" i="12" a="1"/>
  <c r="L281" i="12" s="1"/>
  <c r="L282" i="12" a="1"/>
  <c r="L282" i="12" s="1"/>
  <c r="L283" i="12" a="1"/>
  <c r="L283" i="12" s="1"/>
  <c r="L284" i="12" a="1"/>
  <c r="L284" i="12"/>
  <c r="L285" i="12" a="1"/>
  <c r="L285" i="12" s="1"/>
  <c r="L286" i="12" a="1"/>
  <c r="L286" i="12" s="1"/>
  <c r="L287" i="12" a="1"/>
  <c r="L287" i="12" s="1"/>
  <c r="L288" i="12" a="1"/>
  <c r="L288" i="12" s="1"/>
  <c r="L289" i="12" a="1"/>
  <c r="L289" i="12" s="1"/>
  <c r="L290" i="12" a="1"/>
  <c r="L290" i="12"/>
  <c r="L291" i="12" a="1"/>
  <c r="L291" i="12" s="1"/>
  <c r="L292" i="12" a="1"/>
  <c r="L292" i="12" s="1"/>
  <c r="L293" i="12" a="1"/>
  <c r="L293" i="12" s="1"/>
  <c r="L294" i="12" a="1"/>
  <c r="L294" i="12" s="1"/>
  <c r="L295" i="12" a="1"/>
  <c r="L295" i="12" s="1"/>
  <c r="L296" i="12" a="1"/>
  <c r="L296" i="12" s="1"/>
  <c r="L297" i="12" a="1"/>
  <c r="L297" i="12" s="1"/>
  <c r="L298" i="12" a="1"/>
  <c r="L298" i="12" s="1"/>
  <c r="L299" i="12" a="1"/>
  <c r="L299" i="12" s="1"/>
  <c r="L300" i="12" a="1"/>
  <c r="L300" i="12" s="1"/>
  <c r="L301" i="12" a="1"/>
  <c r="L301" i="12" s="1"/>
  <c r="L302" i="12" a="1"/>
  <c r="L302" i="12" s="1"/>
  <c r="L303" i="12" a="1"/>
  <c r="L303" i="12" s="1"/>
  <c r="L304" i="12" a="1"/>
  <c r="L304" i="12" s="1"/>
  <c r="L305" i="12" a="1"/>
  <c r="L305" i="12" s="1"/>
  <c r="L306" i="12" a="1"/>
  <c r="L306" i="12" s="1"/>
  <c r="L307" i="12" a="1"/>
  <c r="L307" i="12" s="1"/>
  <c r="L308" i="12" a="1"/>
  <c r="L308" i="12" s="1"/>
  <c r="L309" i="12" a="1"/>
  <c r="L309" i="12" s="1"/>
  <c r="L310" i="12" a="1"/>
  <c r="L310" i="12" s="1"/>
  <c r="L311" i="12" a="1"/>
  <c r="L311" i="12" s="1"/>
  <c r="L312" i="12" a="1"/>
  <c r="L312" i="12" s="1"/>
  <c r="L313" i="12" a="1"/>
  <c r="L313" i="12" s="1"/>
  <c r="L314" i="12" a="1"/>
  <c r="L314" i="12" s="1"/>
  <c r="L315" i="12" a="1"/>
  <c r="L315" i="12" s="1"/>
  <c r="L316" i="12" a="1"/>
  <c r="L316" i="12" s="1"/>
  <c r="L317" i="12" a="1"/>
  <c r="L317" i="12" s="1"/>
  <c r="L318" i="12" a="1"/>
  <c r="L318" i="12" s="1"/>
  <c r="L319" i="12" a="1"/>
  <c r="L319" i="12" s="1"/>
  <c r="L320" i="12" a="1"/>
  <c r="L320" i="12" s="1"/>
  <c r="L321" i="12" a="1"/>
  <c r="L321" i="12" s="1"/>
  <c r="L322" i="12" a="1"/>
  <c r="L322" i="12" s="1"/>
  <c r="L323" i="12" a="1"/>
  <c r="L323" i="12" s="1"/>
  <c r="L324" i="12" a="1"/>
  <c r="L324" i="12" s="1"/>
  <c r="L325" i="12" a="1"/>
  <c r="L325" i="12" s="1"/>
  <c r="L326" i="12" a="1"/>
  <c r="L326" i="12" s="1"/>
  <c r="L327" i="12" a="1"/>
  <c r="L327" i="12"/>
  <c r="L328" i="12" a="1"/>
  <c r="L328" i="12" s="1"/>
  <c r="L329" i="12" a="1"/>
  <c r="L329" i="12" s="1"/>
  <c r="L330" i="12" a="1"/>
  <c r="L330" i="12" s="1"/>
  <c r="L331" i="12" a="1"/>
  <c r="L331" i="12" s="1"/>
  <c r="L332" i="12" a="1"/>
  <c r="L332" i="12" s="1"/>
  <c r="L333" i="12" a="1"/>
  <c r="L333" i="12" s="1"/>
  <c r="L334" i="12" a="1"/>
  <c r="L334" i="12" s="1"/>
  <c r="L335" i="12" a="1"/>
  <c r="L335" i="12" s="1"/>
  <c r="L336" i="12" a="1"/>
  <c r="L336" i="12" s="1"/>
  <c r="L337" i="12" a="1"/>
  <c r="L337" i="12" s="1"/>
  <c r="L338" i="12" a="1"/>
  <c r="L338" i="12"/>
  <c r="L339" i="12" a="1"/>
  <c r="L339" i="12" s="1"/>
  <c r="L340" i="12" a="1"/>
  <c r="L340" i="12" s="1"/>
  <c r="L341" i="12" a="1"/>
  <c r="L341" i="12" s="1"/>
  <c r="L342" i="12" a="1"/>
  <c r="L342" i="12" s="1"/>
  <c r="L343" i="12" a="1"/>
  <c r="L343" i="12" s="1"/>
  <c r="L344" i="12" a="1"/>
  <c r="L344" i="12" s="1"/>
  <c r="L345" i="12" a="1"/>
  <c r="L345" i="12" s="1"/>
  <c r="L346" i="12" a="1"/>
  <c r="L346" i="12" s="1"/>
  <c r="L347" i="12" a="1"/>
  <c r="L347" i="12" s="1"/>
  <c r="L348" i="12" a="1"/>
  <c r="L348" i="12" s="1"/>
  <c r="L349" i="12" a="1"/>
  <c r="L349" i="12" s="1"/>
  <c r="L350" i="12" a="1"/>
  <c r="L350" i="12" s="1"/>
  <c r="L351" i="12" a="1"/>
  <c r="L351" i="12" s="1"/>
  <c r="L352" i="12" a="1"/>
  <c r="L352" i="12" s="1"/>
  <c r="L353" i="12" a="1"/>
  <c r="L353" i="12" s="1"/>
  <c r="L354" i="12" a="1"/>
  <c r="L354" i="12" s="1"/>
  <c r="L355" i="12" a="1"/>
  <c r="L355" i="12" s="1"/>
  <c r="L356" i="12" a="1"/>
  <c r="L356" i="12" s="1"/>
  <c r="L357" i="12" a="1"/>
  <c r="L357" i="12" s="1"/>
  <c r="L358" i="12" a="1"/>
  <c r="L358" i="12" s="1"/>
  <c r="L359" i="12" a="1"/>
  <c r="L359" i="12" s="1"/>
  <c r="L360" i="12" a="1"/>
  <c r="L360" i="12" s="1"/>
  <c r="L361" i="12" a="1"/>
  <c r="L361" i="12" s="1"/>
  <c r="L362" i="12" a="1"/>
  <c r="L362" i="12" s="1"/>
  <c r="L363" i="12" a="1"/>
  <c r="L363" i="12" s="1"/>
  <c r="L364" i="12" a="1"/>
  <c r="L364" i="12" s="1"/>
  <c r="L365" i="12" a="1"/>
  <c r="L365" i="12" s="1"/>
  <c r="L366" i="12" a="1"/>
  <c r="L366" i="12" s="1"/>
  <c r="L367" i="12" a="1"/>
  <c r="L367" i="12" s="1"/>
  <c r="L368" i="12" a="1"/>
  <c r="L368" i="12"/>
  <c r="L369" i="12" a="1"/>
  <c r="L369" i="12" s="1"/>
  <c r="L370" i="12" a="1"/>
  <c r="L370" i="12" s="1"/>
  <c r="L371" i="12" a="1"/>
  <c r="L371" i="12" s="1"/>
  <c r="L372" i="12" a="1"/>
  <c r="L372" i="12" s="1"/>
  <c r="L373" i="12" a="1"/>
  <c r="L373" i="12" s="1"/>
  <c r="L374" i="12" a="1"/>
  <c r="L374" i="12" s="1"/>
  <c r="L375" i="12" a="1"/>
  <c r="L375" i="12" s="1"/>
  <c r="L376" i="12" a="1"/>
  <c r="L376" i="12" s="1"/>
  <c r="L377" i="12" a="1"/>
  <c r="L377" i="12" s="1"/>
  <c r="L378" i="12" a="1"/>
  <c r="L378" i="12" s="1"/>
  <c r="L379" i="12" a="1"/>
  <c r="L379" i="12" s="1"/>
  <c r="L380" i="12" a="1"/>
  <c r="L380" i="12" s="1"/>
  <c r="L381" i="12" a="1"/>
  <c r="L381" i="12" s="1"/>
  <c r="L382" i="12" a="1"/>
  <c r="L382" i="12" s="1"/>
  <c r="L383" i="12" a="1"/>
  <c r="L383" i="12" s="1"/>
  <c r="L384" i="12" a="1"/>
  <c r="L384" i="12" s="1"/>
  <c r="L385" i="12" a="1"/>
  <c r="L385" i="12" s="1"/>
  <c r="L386" i="12" a="1"/>
  <c r="L386" i="12" s="1"/>
  <c r="L387" i="12" a="1"/>
  <c r="L387" i="12" s="1"/>
  <c r="L388" i="12" a="1"/>
  <c r="L388" i="12" s="1"/>
  <c r="L389" i="12" a="1"/>
  <c r="L389" i="12" s="1"/>
  <c r="L390" i="12" a="1"/>
  <c r="L390" i="12" s="1"/>
  <c r="L391" i="12" a="1"/>
  <c r="L391" i="12"/>
  <c r="L392" i="12" a="1"/>
  <c r="L392" i="12" s="1"/>
  <c r="L393" i="12" a="1"/>
  <c r="L393" i="12" s="1"/>
  <c r="L394" i="12" a="1"/>
  <c r="L394" i="12" s="1"/>
  <c r="L395" i="12" a="1"/>
  <c r="L395" i="12" s="1"/>
  <c r="L396" i="12" a="1"/>
  <c r="L396" i="12" s="1"/>
  <c r="L397" i="12" a="1"/>
  <c r="L397" i="12" s="1"/>
  <c r="L398" i="12" a="1"/>
  <c r="L398" i="12" s="1"/>
  <c r="L399" i="12" a="1"/>
  <c r="L399" i="12" s="1"/>
  <c r="L400" i="12" a="1"/>
  <c r="L400" i="12" s="1"/>
  <c r="L401" i="12" a="1"/>
  <c r="L401" i="12" s="1"/>
  <c r="L402" i="12" a="1"/>
  <c r="L402" i="12" s="1"/>
  <c r="L403" i="12" a="1"/>
  <c r="L403" i="12" s="1"/>
  <c r="L404" i="12" a="1"/>
  <c r="L404" i="12" s="1"/>
  <c r="L405" i="12" a="1"/>
  <c r="L405" i="12" s="1"/>
  <c r="L406" i="12" a="1"/>
  <c r="L406" i="12" s="1"/>
  <c r="L407" i="12" a="1"/>
  <c r="L407" i="12" s="1"/>
  <c r="L408" i="12" a="1"/>
  <c r="L408" i="12" s="1"/>
  <c r="L409" i="12" a="1"/>
  <c r="L409" i="12" s="1"/>
  <c r="L410" i="12" a="1"/>
  <c r="L410" i="12" s="1"/>
  <c r="L411" i="12" a="1"/>
  <c r="L411" i="12" s="1"/>
  <c r="L412" i="12" a="1"/>
  <c r="L412" i="12" s="1"/>
  <c r="L413" i="12" a="1"/>
  <c r="L413" i="12" s="1"/>
  <c r="L414" i="12" a="1"/>
  <c r="L414" i="12" s="1"/>
  <c r="L415" i="12" a="1"/>
  <c r="L415" i="12"/>
  <c r="L416" i="12" a="1"/>
  <c r="L416" i="12" s="1"/>
  <c r="L417" i="12" a="1"/>
  <c r="L417" i="12" s="1"/>
  <c r="L418" i="12" a="1"/>
  <c r="L418" i="12" s="1"/>
  <c r="L419" i="12" a="1"/>
  <c r="L419" i="12" s="1"/>
  <c r="L420" i="12" a="1"/>
  <c r="L420" i="12" s="1"/>
  <c r="L421" i="12" a="1"/>
  <c r="L421" i="12" s="1"/>
  <c r="L422" i="12" a="1"/>
  <c r="L422" i="12" s="1"/>
  <c r="L423" i="12" a="1"/>
  <c r="L423" i="12" s="1"/>
  <c r="L424" i="12" a="1"/>
  <c r="L424" i="12" s="1"/>
  <c r="L425" i="12" a="1"/>
  <c r="L425" i="12" s="1"/>
  <c r="L426" i="12" a="1"/>
  <c r="L426" i="12" s="1"/>
  <c r="L427" i="12" a="1"/>
  <c r="L427" i="12" s="1"/>
  <c r="L428" i="12" a="1"/>
  <c r="L428" i="12" s="1"/>
  <c r="L429" i="12" a="1"/>
  <c r="L429" i="12" s="1"/>
  <c r="L430" i="12" a="1"/>
  <c r="L430" i="12" s="1"/>
  <c r="L431" i="12" a="1"/>
  <c r="L431" i="12" s="1"/>
  <c r="L432" i="12" a="1"/>
  <c r="L432" i="12" s="1"/>
  <c r="L433" i="12" a="1"/>
  <c r="L433" i="12" s="1"/>
  <c r="L434" i="12" a="1"/>
  <c r="L434" i="12"/>
  <c r="L435" i="12" a="1"/>
  <c r="L435" i="12" s="1"/>
  <c r="L436" i="12" a="1"/>
  <c r="L436" i="12" s="1"/>
  <c r="L437" i="12" a="1"/>
  <c r="L437" i="12" s="1"/>
  <c r="L438" i="12" a="1"/>
  <c r="L438" i="12" s="1"/>
  <c r="L439" i="12" a="1"/>
  <c r="L439" i="12" s="1"/>
  <c r="L440" i="12" a="1"/>
  <c r="L440" i="12" s="1"/>
  <c r="L441" i="12" a="1"/>
  <c r="L441" i="12" s="1"/>
  <c r="L442" i="12" a="1"/>
  <c r="L442" i="12" s="1"/>
  <c r="L443" i="12" a="1"/>
  <c r="L443" i="12" s="1"/>
  <c r="L444" i="12" a="1"/>
  <c r="L444" i="12" s="1"/>
  <c r="L445" i="12" a="1"/>
  <c r="L445" i="12" s="1"/>
  <c r="L446" i="12" a="1"/>
  <c r="L446" i="12" s="1"/>
  <c r="L447" i="12" a="1"/>
  <c r="L447" i="12" s="1"/>
  <c r="L448" i="12" a="1"/>
  <c r="L448" i="12" s="1"/>
  <c r="L449" i="12" a="1"/>
  <c r="L449" i="12" s="1"/>
  <c r="L450" i="12" a="1"/>
  <c r="L450" i="12" s="1"/>
  <c r="L451" i="12" a="1"/>
  <c r="L451" i="12" s="1"/>
  <c r="L452" i="12" a="1"/>
  <c r="L452" i="12" s="1"/>
  <c r="L453" i="12" a="1"/>
  <c r="L453" i="12" s="1"/>
  <c r="L454" i="12" a="1"/>
  <c r="L454" i="12" s="1"/>
  <c r="L455" i="12" a="1"/>
  <c r="L455" i="12" s="1"/>
  <c r="L456" i="12" a="1"/>
  <c r="L456" i="12" s="1"/>
  <c r="L457" i="12" a="1"/>
  <c r="L457" i="12"/>
  <c r="L458" i="12" a="1"/>
  <c r="L458" i="12" s="1"/>
  <c r="L459" i="12" a="1"/>
  <c r="L459" i="12" s="1"/>
  <c r="L460" i="12" a="1"/>
  <c r="L460" i="12" s="1"/>
  <c r="L461" i="12" a="1"/>
  <c r="L461" i="12" s="1"/>
  <c r="L462" i="12" a="1"/>
  <c r="L462" i="12" s="1"/>
  <c r="L463" i="12" a="1"/>
  <c r="L463" i="12" s="1"/>
  <c r="L464" i="12" a="1"/>
  <c r="L464" i="12" s="1"/>
  <c r="L465" i="12" a="1"/>
  <c r="L465" i="12" s="1"/>
  <c r="L466" i="12" a="1"/>
  <c r="L466" i="12" s="1"/>
  <c r="L467" i="12" a="1"/>
  <c r="L467" i="12" s="1"/>
  <c r="L468" i="12" a="1"/>
  <c r="L468" i="12" s="1"/>
  <c r="L469" i="12" a="1"/>
  <c r="L469" i="12" s="1"/>
  <c r="L470" i="12" a="1"/>
  <c r="L470" i="12" s="1"/>
  <c r="L471" i="12" a="1"/>
  <c r="L471" i="12" s="1"/>
  <c r="L472" i="12" a="1"/>
  <c r="L472" i="12" s="1"/>
  <c r="L473" i="12" a="1"/>
  <c r="L473" i="12" s="1"/>
  <c r="L474" i="12" a="1"/>
  <c r="L474" i="12" s="1"/>
  <c r="L475" i="12" a="1"/>
  <c r="L475" i="12" s="1"/>
  <c r="L476" i="12" a="1"/>
  <c r="L476" i="12" s="1"/>
  <c r="L477" i="12" a="1"/>
  <c r="L477" i="12" s="1"/>
  <c r="L478" i="12" a="1"/>
  <c r="L478" i="12" s="1"/>
  <c r="L2" i="12" a="1"/>
  <c r="L2" i="12" s="1"/>
  <c r="E22" i="2"/>
  <c r="E18" i="2"/>
  <c r="F14" i="2"/>
  <c r="D10" i="2"/>
  <c r="E6" i="2"/>
  <c r="B247" i="7"/>
  <c r="B246" i="7"/>
  <c r="B245" i="7"/>
  <c r="B244" i="7"/>
  <c r="B243" i="7"/>
  <c r="B242" i="7"/>
  <c r="B241" i="7"/>
  <c r="B240" i="7"/>
  <c r="B239" i="7"/>
  <c r="B238" i="7"/>
  <c r="C3" i="10" a="1"/>
  <c r="C3" i="10" s="1"/>
  <c r="B3" i="10" a="1"/>
  <c r="B3" i="10" s="1"/>
  <c r="A3" i="10" a="1"/>
  <c r="A3" i="10" s="1"/>
  <c r="D146" i="7"/>
  <c r="Q2" i="6" a="1"/>
  <c r="Q2" i="6" s="1"/>
  <c r="P2" i="6" a="1"/>
  <c r="P2" i="6" s="1"/>
  <c r="E122" i="7"/>
  <c r="D118" i="7"/>
  <c r="E114" i="7"/>
  <c r="D110" i="7"/>
  <c r="D106" i="7"/>
  <c r="D98" i="7"/>
  <c r="O3" i="6" a="1"/>
  <c r="O3" i="6" s="1"/>
  <c r="O4" i="6" a="1"/>
  <c r="O4" i="6" s="1"/>
  <c r="O5" i="6" a="1"/>
  <c r="O5" i="6" s="1"/>
  <c r="O6" i="6" a="1"/>
  <c r="O6" i="6" s="1"/>
  <c r="O7" i="6" a="1"/>
  <c r="O7" i="6" s="1"/>
  <c r="O8" i="6" a="1"/>
  <c r="O8" i="6" s="1"/>
  <c r="O9" i="6" a="1"/>
  <c r="O9" i="6" s="1"/>
  <c r="O10" i="6" a="1"/>
  <c r="O10" i="6" s="1"/>
  <c r="O11" i="6" a="1"/>
  <c r="O11" i="6" s="1"/>
  <c r="O12" i="6" a="1"/>
  <c r="O12" i="6" s="1"/>
  <c r="O13" i="6" a="1"/>
  <c r="O13" i="6" s="1"/>
  <c r="O14" i="6" a="1"/>
  <c r="O14" i="6" s="1"/>
  <c r="O15" i="6" a="1"/>
  <c r="O15" i="6" s="1"/>
  <c r="O16" i="6" a="1"/>
  <c r="O16" i="6" s="1"/>
  <c r="O17" i="6" a="1"/>
  <c r="O17" i="6"/>
  <c r="O18" i="6" a="1"/>
  <c r="O18" i="6" s="1"/>
  <c r="O19" i="6" a="1"/>
  <c r="O19" i="6"/>
  <c r="O20" i="6" a="1"/>
  <c r="O20" i="6" s="1"/>
  <c r="O21" i="6" a="1"/>
  <c r="O21" i="6" s="1"/>
  <c r="O22" i="6" a="1"/>
  <c r="O22" i="6" s="1"/>
  <c r="O23" i="6" a="1"/>
  <c r="O23" i="6" s="1"/>
  <c r="O24" i="6" a="1"/>
  <c r="O24" i="6" s="1"/>
  <c r="O25" i="6" a="1"/>
  <c r="O25" i="6" s="1"/>
  <c r="O26" i="6" a="1"/>
  <c r="O26" i="6"/>
  <c r="O2" i="6" a="1"/>
  <c r="O2" i="6" s="1"/>
  <c r="N3" i="6" a="1"/>
  <c r="N3" i="6" s="1"/>
  <c r="N4" i="6" a="1"/>
  <c r="N4" i="6" s="1"/>
  <c r="N5" i="6" a="1"/>
  <c r="N5" i="6" s="1"/>
  <c r="N6" i="6" a="1"/>
  <c r="N6" i="6"/>
  <c r="N7" i="6" a="1"/>
  <c r="N7" i="6" s="1"/>
  <c r="N8" i="6" a="1"/>
  <c r="N8" i="6" s="1"/>
  <c r="N9" i="6" a="1"/>
  <c r="N9" i="6" s="1"/>
  <c r="N10" i="6" a="1"/>
  <c r="N10" i="6" s="1"/>
  <c r="N11" i="6" a="1"/>
  <c r="N11" i="6" s="1"/>
  <c r="N12" i="6" a="1"/>
  <c r="N12" i="6"/>
  <c r="N13" i="6" a="1"/>
  <c r="N13" i="6" s="1"/>
  <c r="N14" i="6" a="1"/>
  <c r="N14" i="6"/>
  <c r="N15" i="6" a="1"/>
  <c r="N15" i="6" s="1"/>
  <c r="N16" i="6" a="1"/>
  <c r="N16" i="6" s="1"/>
  <c r="N17" i="6" a="1"/>
  <c r="N17" i="6"/>
  <c r="N18" i="6" a="1"/>
  <c r="N18" i="6" s="1"/>
  <c r="N19" i="6" a="1"/>
  <c r="N19" i="6"/>
  <c r="N20" i="6" a="1"/>
  <c r="N20" i="6" s="1"/>
  <c r="N21" i="6" a="1"/>
  <c r="N21" i="6"/>
  <c r="N22" i="6" a="1"/>
  <c r="N22" i="6" s="1"/>
  <c r="N23" i="6" a="1"/>
  <c r="N23" i="6" s="1"/>
  <c r="N24" i="6" a="1"/>
  <c r="N24" i="6" s="1"/>
  <c r="N25" i="6" a="1"/>
  <c r="N25" i="6" s="1"/>
  <c r="N26" i="6" a="1"/>
  <c r="N26" i="6"/>
  <c r="N2" i="6" a="1"/>
  <c r="N2" i="6" s="1"/>
  <c r="M3" i="6" a="1"/>
  <c r="M3" i="6"/>
  <c r="M4" i="6" a="1"/>
  <c r="M4" i="6" s="1"/>
  <c r="M5" i="6" a="1"/>
  <c r="M5" i="6" s="1"/>
  <c r="M6" i="6" a="1"/>
  <c r="M6" i="6"/>
  <c r="M7" i="6" a="1"/>
  <c r="M7" i="6" s="1"/>
  <c r="M8" i="6" a="1"/>
  <c r="M8" i="6" s="1"/>
  <c r="M9" i="6" a="1"/>
  <c r="M9" i="6" s="1"/>
  <c r="M10" i="6" a="1"/>
  <c r="M10" i="6" s="1"/>
  <c r="M11" i="6" a="1"/>
  <c r="M11" i="6" s="1"/>
  <c r="M12" i="6" a="1"/>
  <c r="M12" i="6" s="1"/>
  <c r="M13" i="6" a="1"/>
  <c r="M13" i="6" s="1"/>
  <c r="M14" i="6" a="1"/>
  <c r="M14" i="6"/>
  <c r="M15" i="6" a="1"/>
  <c r="M15" i="6"/>
  <c r="M16" i="6" a="1"/>
  <c r="M16" i="6" s="1"/>
  <c r="M17" i="6" a="1"/>
  <c r="M17" i="6" s="1"/>
  <c r="M18" i="6" a="1"/>
  <c r="M18" i="6" s="1"/>
  <c r="M19" i="6" a="1"/>
  <c r="M19" i="6"/>
  <c r="M20" i="6" a="1"/>
  <c r="M20" i="6" s="1"/>
  <c r="M21" i="6" a="1"/>
  <c r="M21" i="6" s="1"/>
  <c r="M22" i="6" a="1"/>
  <c r="M22" i="6" s="1"/>
  <c r="M23" i="6" a="1"/>
  <c r="M23" i="6" s="1"/>
  <c r="M24" i="6" a="1"/>
  <c r="M24" i="6" s="1"/>
  <c r="M25" i="6" a="1"/>
  <c r="M25" i="6" s="1"/>
  <c r="M26" i="6" a="1"/>
  <c r="M26" i="6" s="1"/>
  <c r="M2" i="6" a="1"/>
  <c r="M2" i="6" s="1"/>
  <c r="L3" i="6" a="1"/>
  <c r="L3" i="6" s="1"/>
  <c r="L4" i="6" a="1"/>
  <c r="L4" i="6" s="1"/>
  <c r="L5" i="6" a="1"/>
  <c r="L5" i="6" s="1"/>
  <c r="L6" i="6" a="1"/>
  <c r="L6" i="6" s="1"/>
  <c r="L7" i="6" a="1"/>
  <c r="L7" i="6"/>
  <c r="L8" i="6" a="1"/>
  <c r="L8" i="6" s="1"/>
  <c r="L9" i="6" a="1"/>
  <c r="L9" i="6" s="1"/>
  <c r="L10" i="6" a="1"/>
  <c r="L10" i="6" s="1"/>
  <c r="L11" i="6" a="1"/>
  <c r="L11" i="6" s="1"/>
  <c r="L12" i="6" a="1"/>
  <c r="L12" i="6" s="1"/>
  <c r="L13" i="6" a="1"/>
  <c r="L13" i="6" s="1"/>
  <c r="L14" i="6" a="1"/>
  <c r="L14" i="6" s="1"/>
  <c r="L15" i="6" a="1"/>
  <c r="L15" i="6" s="1"/>
  <c r="L16" i="6" a="1"/>
  <c r="L16" i="6" s="1"/>
  <c r="L17" i="6" a="1"/>
  <c r="L17" i="6"/>
  <c r="L18" i="6" a="1"/>
  <c r="L18" i="6" s="1"/>
  <c r="L19" i="6" a="1"/>
  <c r="L19" i="6" s="1"/>
  <c r="L20" i="6" a="1"/>
  <c r="L20" i="6"/>
  <c r="L21" i="6" a="1"/>
  <c r="L21" i="6" s="1"/>
  <c r="L22" i="6" a="1"/>
  <c r="L22" i="6" s="1"/>
  <c r="L23" i="6" a="1"/>
  <c r="L23" i="6"/>
  <c r="L24" i="6" a="1"/>
  <c r="L24" i="6" s="1"/>
  <c r="L25" i="6" a="1"/>
  <c r="L25" i="6" s="1"/>
  <c r="L26" i="6" a="1"/>
  <c r="L26" i="6" s="1"/>
  <c r="L2" i="6" a="1"/>
  <c r="L2" i="6" s="1"/>
  <c r="K3" i="6"/>
  <c r="K4" i="6"/>
  <c r="K5" i="6"/>
  <c r="K6" i="6"/>
  <c r="K7" i="6"/>
  <c r="K8" i="6"/>
  <c r="K9" i="6"/>
  <c r="K10" i="6"/>
  <c r="K11" i="6"/>
  <c r="K12" i="6"/>
  <c r="K13" i="6"/>
  <c r="K14" i="6"/>
  <c r="K15" i="6"/>
  <c r="K16" i="6"/>
  <c r="K17" i="6"/>
  <c r="K18" i="6"/>
  <c r="K19" i="6"/>
  <c r="K20" i="6"/>
  <c r="K21" i="6"/>
  <c r="K22" i="6"/>
  <c r="K23" i="6"/>
  <c r="K24" i="6"/>
  <c r="K25" i="6"/>
  <c r="K26" i="6"/>
  <c r="K2" i="6"/>
  <c r="F84" i="3" a="1"/>
  <c r="F84" i="3" s="1"/>
  <c r="E84" i="3" a="1"/>
  <c r="E84" i="3" s="1"/>
  <c r="F74" i="3"/>
  <c r="E70" i="3"/>
  <c r="C64" i="3"/>
  <c r="C59" i="3"/>
  <c r="E54" i="3"/>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E84" i="7" l="1"/>
  <c r="C90" i="7"/>
  <c r="D80" i="7"/>
  <c r="E9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<sst xmlns="http://schemas.openxmlformats.org/spreadsheetml/2006/main" count="6532" uniqueCount="324">
  <si>
    <t>Applicant ID</t>
  </si>
  <si>
    <t>Candidate Name</t>
  </si>
  <si>
    <t>City</t>
  </si>
  <si>
    <t>Department</t>
  </si>
  <si>
    <t>Job Role</t>
  </si>
  <si>
    <t>Source</t>
  </si>
  <si>
    <t>Status</t>
  </si>
  <si>
    <t>Application Date</t>
  </si>
  <si>
    <t>Salary Expected</t>
  </si>
  <si>
    <t>Experience</t>
  </si>
  <si>
    <t>Arun</t>
  </si>
  <si>
    <t>Bangalore</t>
  </si>
  <si>
    <t>IT</t>
  </si>
  <si>
    <t>Data Analyst</t>
  </si>
  <si>
    <t>Naukri</t>
  </si>
  <si>
    <t>Selected</t>
  </si>
  <si>
    <t>Priya</t>
  </si>
  <si>
    <t>Chennai</t>
  </si>
  <si>
    <t>HR</t>
  </si>
  <si>
    <t>HR Executive</t>
  </si>
  <si>
    <t>Employee Referral</t>
  </si>
  <si>
    <t>Interview</t>
  </si>
  <si>
    <t>Rahul</t>
  </si>
  <si>
    <t>Python Developer</t>
  </si>
  <si>
    <t>LinkedIn</t>
  </si>
  <si>
    <t>Rejected</t>
  </si>
  <si>
    <t>Divya</t>
  </si>
  <si>
    <t>Hyderabad</t>
  </si>
  <si>
    <t>Finance</t>
  </si>
  <si>
    <t>MIS Executive</t>
  </si>
  <si>
    <t>Karthik</t>
  </si>
  <si>
    <t>Sneha</t>
  </si>
  <si>
    <t>Operations</t>
  </si>
  <si>
    <t>Operations Executive</t>
  </si>
  <si>
    <t>Indeed</t>
  </si>
  <si>
    <t>Ajay</t>
  </si>
  <si>
    <t>ML Engineer</t>
  </si>
  <si>
    <t>Meena</t>
  </si>
  <si>
    <t>Pune</t>
  </si>
  <si>
    <t>Recruiter</t>
  </si>
  <si>
    <t>Rohit</t>
  </si>
  <si>
    <t>Anjali</t>
  </si>
  <si>
    <t>Suresh</t>
  </si>
  <si>
    <t>Kavya</t>
  </si>
  <si>
    <t>Manoj</t>
  </si>
  <si>
    <t>Lakshmi</t>
  </si>
  <si>
    <t>Vignesh</t>
  </si>
  <si>
    <t>Pooja</t>
  </si>
  <si>
    <t>Naveen</t>
  </si>
  <si>
    <t>Swathi</t>
  </si>
  <si>
    <t>Ganesh</t>
  </si>
  <si>
    <t>Harini</t>
  </si>
  <si>
    <t>Exercise 1 — COUNTIF / COUNTIFS</t>
  </si>
  <si>
    <t>Q1</t>
  </si>
  <si>
    <r>
      <t xml:space="preserve">Count the </t>
    </r>
    <r>
      <rPr>
        <b/>
        <sz val="11"/>
        <color theme="1"/>
        <rFont val="Calibri"/>
        <family val="2"/>
        <scheme val="minor"/>
      </rPr>
      <t>total number of applicants</t>
    </r>
    <r>
      <rPr>
        <sz val="11"/>
        <color theme="1"/>
        <rFont val="Calibri"/>
        <family val="2"/>
        <scheme val="minor"/>
      </rPr>
      <t>.</t>
    </r>
  </si>
  <si>
    <t>Q2</t>
  </si>
  <si>
    <r>
      <t xml:space="preserve">Count applicants from </t>
    </r>
    <r>
      <rPr>
        <b/>
        <sz val="11"/>
        <color theme="1"/>
        <rFont val="Calibri"/>
        <family val="2"/>
        <scheme val="minor"/>
      </rPr>
      <t>Bangalore</t>
    </r>
    <r>
      <rPr>
        <sz val="11"/>
        <color theme="1"/>
        <rFont val="Calibri"/>
        <family val="2"/>
        <scheme val="minor"/>
      </rPr>
      <t>.</t>
    </r>
  </si>
  <si>
    <t>Q3</t>
  </si>
  <si>
    <r>
      <t xml:space="preserve">Count applicants from </t>
    </r>
    <r>
      <rPr>
        <b/>
        <sz val="11"/>
        <color theme="1"/>
        <rFont val="Calibri"/>
        <family val="2"/>
        <scheme val="minor"/>
      </rPr>
      <t>Bangalore</t>
    </r>
    <r>
      <rPr>
        <sz val="11"/>
        <color theme="1"/>
        <rFont val="Calibri"/>
        <family val="2"/>
        <scheme val="minor"/>
      </rPr>
      <t xml:space="preserve"> whose Status is </t>
    </r>
    <r>
      <rPr>
        <b/>
        <sz val="11"/>
        <color theme="1"/>
        <rFont val="Calibri"/>
        <family val="2"/>
        <scheme val="minor"/>
      </rPr>
      <t>Selected</t>
    </r>
    <r>
      <rPr>
        <sz val="11"/>
        <color theme="1"/>
        <rFont val="Calibri"/>
        <family val="2"/>
        <scheme val="minor"/>
      </rPr>
      <t>.</t>
    </r>
  </si>
  <si>
    <t>Q4</t>
  </si>
  <si>
    <r>
      <t xml:space="preserve">Count applicants whose Source is </t>
    </r>
    <r>
      <rPr>
        <b/>
        <sz val="11"/>
        <color theme="1"/>
        <rFont val="Calibri"/>
        <family val="2"/>
        <scheme val="minor"/>
      </rPr>
      <t>Employee Referral</t>
    </r>
    <r>
      <rPr>
        <sz val="11"/>
        <color theme="1"/>
        <rFont val="Calibri"/>
        <family val="2"/>
        <scheme val="minor"/>
      </rPr>
      <t>.</t>
    </r>
  </si>
  <si>
    <t>Q5</t>
  </si>
  <si>
    <r>
      <t xml:space="preserve">Count applicants from </t>
    </r>
    <r>
      <rPr>
        <b/>
        <sz val="11"/>
        <color theme="1"/>
        <rFont val="Calibri"/>
        <family val="2"/>
        <scheme val="minor"/>
      </rPr>
      <t>IT department</t>
    </r>
    <r>
      <rPr>
        <sz val="11"/>
        <color theme="1"/>
        <rFont val="Calibri"/>
        <family val="2"/>
        <scheme val="minor"/>
      </rPr>
      <t xml:space="preserve"> with </t>
    </r>
    <r>
      <rPr>
        <b/>
        <sz val="11"/>
        <color theme="1"/>
        <rFont val="Calibri"/>
        <family val="2"/>
        <scheme val="minor"/>
      </rPr>
      <t>Interview</t>
    </r>
    <r>
      <rPr>
        <sz val="11"/>
        <color theme="1"/>
        <rFont val="Calibri"/>
        <family val="2"/>
        <scheme val="minor"/>
      </rPr>
      <t xml:space="preserve"> status.</t>
    </r>
  </si>
  <si>
    <t>Q6</t>
  </si>
  <si>
    <r>
      <t xml:space="preserve">Count applicants with </t>
    </r>
    <r>
      <rPr>
        <b/>
        <sz val="11"/>
        <color theme="1"/>
        <rFont val="Calibri"/>
        <family val="2"/>
        <scheme val="minor"/>
      </rPr>
      <t>more than 1 year of experience</t>
    </r>
    <r>
      <rPr>
        <sz val="11"/>
        <color theme="1"/>
        <rFont val="Calibri"/>
        <family val="2"/>
        <scheme val="minor"/>
      </rPr>
      <t>.</t>
    </r>
  </si>
  <si>
    <t>Exercise 2 — IF</t>
  </si>
  <si>
    <t>Rules:</t>
  </si>
  <si>
    <r>
      <t xml:space="preserve">Experience &gt;= 2 → </t>
    </r>
    <r>
      <rPr>
        <sz val="10"/>
        <color theme="1"/>
        <rFont val="Arial Unicode MS"/>
      </rPr>
      <t>"Experienced"</t>
    </r>
  </si>
  <si>
    <r>
      <t xml:space="preserve">Experience &lt; 2 → </t>
    </r>
    <r>
      <rPr>
        <sz val="10"/>
        <color theme="1"/>
        <rFont val="Arial Unicode MS"/>
      </rPr>
      <t>"Fresher"</t>
    </r>
  </si>
  <si>
    <t>Q7</t>
  </si>
  <si>
    <t>Exercise 3 — IFS</t>
  </si>
  <si>
    <t>Create:</t>
  </si>
  <si>
    <t>Salary Category</t>
  </si>
  <si>
    <t>Expected Salary</t>
  </si>
  <si>
    <t>Category</t>
  </si>
  <si>
    <t>&gt;= 600000</t>
  </si>
  <si>
    <t>High</t>
  </si>
  <si>
    <t>&gt;= 450000</t>
  </si>
  <si>
    <t>Medium</t>
  </si>
  <si>
    <t>&lt; 450000</t>
  </si>
  <si>
    <t>Low</t>
  </si>
  <si>
    <t>Q8</t>
  </si>
  <si>
    <t>Exercise 4 — Source of Hire Incentive</t>
  </si>
  <si>
    <t>Referral Incentive</t>
  </si>
  <si>
    <r>
      <t xml:space="preserve">Employee Referral → </t>
    </r>
    <r>
      <rPr>
        <b/>
        <sz val="11"/>
        <color theme="1"/>
        <rFont val="Calibri"/>
        <family val="2"/>
        <scheme val="minor"/>
      </rPr>
      <t>5%</t>
    </r>
  </si>
  <si>
    <r>
      <t xml:space="preserve">Naukri → </t>
    </r>
    <r>
      <rPr>
        <b/>
        <sz val="11"/>
        <color theme="1"/>
        <rFont val="Calibri"/>
        <family val="2"/>
        <scheme val="minor"/>
      </rPr>
      <t>2%</t>
    </r>
  </si>
  <si>
    <r>
      <t xml:space="preserve">LinkedIn → </t>
    </r>
    <r>
      <rPr>
        <b/>
        <sz val="11"/>
        <color theme="1"/>
        <rFont val="Calibri"/>
        <family val="2"/>
        <scheme val="minor"/>
      </rPr>
      <t>2%</t>
    </r>
  </si>
  <si>
    <r>
      <t xml:space="preserve">Any other source → </t>
    </r>
    <r>
      <rPr>
        <b/>
        <sz val="11"/>
        <color theme="1"/>
        <rFont val="Calibri"/>
        <family val="2"/>
        <scheme val="minor"/>
      </rPr>
      <t>1%</t>
    </r>
  </si>
  <si>
    <t>Q9</t>
  </si>
  <si>
    <t>Exercise 5 — Duplicate Detection</t>
  </si>
  <si>
    <t>Duplicate Flag</t>
  </si>
  <si>
    <r>
      <t xml:space="preserve">Use a </t>
    </r>
    <r>
      <rPr>
        <b/>
        <sz val="11"/>
        <color theme="1"/>
        <rFont val="Calibri"/>
        <family val="2"/>
        <scheme val="minor"/>
      </rPr>
      <t>COUNTIF-based IF formula</t>
    </r>
    <r>
      <rPr>
        <sz val="11"/>
        <color theme="1"/>
        <rFont val="Calibri"/>
        <family val="2"/>
        <scheme val="minor"/>
      </rPr>
      <t>.</t>
    </r>
  </si>
  <si>
    <t>Q10</t>
  </si>
  <si>
    <t>Mark each Applicant ID:</t>
  </si>
  <si>
    <r>
      <t xml:space="preserve">Appears more than once → </t>
    </r>
    <r>
      <rPr>
        <sz val="10"/>
        <color theme="1"/>
        <rFont val="Arial Unicode MS"/>
      </rPr>
      <t>Duplicate</t>
    </r>
  </si>
  <si>
    <r>
      <t xml:space="preserve">Appears once → </t>
    </r>
    <r>
      <rPr>
        <sz val="10"/>
        <color theme="1"/>
        <rFont val="Arial Unicode MS"/>
      </rPr>
      <t>Unique</t>
    </r>
  </si>
  <si>
    <t>There is intentionally a duplicate Applicant ID in the dataset.</t>
  </si>
  <si>
    <t>Job ID</t>
  </si>
  <si>
    <t>Arjun</t>
  </si>
  <si>
    <t>Open</t>
  </si>
  <si>
    <t>Deepa</t>
  </si>
  <si>
    <t>Incentives</t>
  </si>
  <si>
    <t>Exercise 6 — Data Validation</t>
  </si>
  <si>
    <t>Q11</t>
  </si>
  <si>
    <t>Apply Data Validation dropdowns to the relevant columns.</t>
  </si>
  <si>
    <t xml:space="preserve">Status </t>
  </si>
  <si>
    <t>Exercise 7 — Conditional Formatting</t>
  </si>
  <si>
    <t>Q12</t>
  </si>
  <si>
    <t>Highlight:</t>
  </si>
  <si>
    <r>
      <t xml:space="preserve">1. Applicants with </t>
    </r>
    <r>
      <rPr>
        <b/>
        <sz val="11"/>
        <color theme="1"/>
        <rFont val="Calibri"/>
        <family val="2"/>
        <scheme val="minor"/>
      </rPr>
      <t>Selected</t>
    </r>
    <r>
      <rPr>
        <sz val="11"/>
        <color theme="1"/>
        <rFont val="Calibri"/>
        <family val="2"/>
        <scheme val="minor"/>
      </rPr>
      <t xml:space="preserve"> status.</t>
    </r>
  </si>
  <si>
    <r>
      <t xml:space="preserve">2. Applicants with salary expected </t>
    </r>
    <r>
      <rPr>
        <b/>
        <sz val="11"/>
        <color theme="1"/>
        <rFont val="Calibri"/>
        <family val="2"/>
        <scheme val="minor"/>
      </rPr>
      <t>&gt;= ₹600,000</t>
    </r>
    <r>
      <rPr>
        <sz val="11"/>
        <color theme="1"/>
        <rFont val="Calibri"/>
        <family val="2"/>
        <scheme val="minor"/>
      </rPr>
      <t>.</t>
    </r>
  </si>
  <si>
    <t>3. Duplicate Applicant IDs.</t>
  </si>
  <si>
    <t>Exercise 8 — SUMIFS</t>
  </si>
  <si>
    <t>Q13</t>
  </si>
  <si>
    <r>
      <t xml:space="preserve">Calculate the </t>
    </r>
    <r>
      <rPr>
        <b/>
        <sz val="11"/>
        <color theme="1"/>
        <rFont val="Calibri"/>
        <family val="2"/>
        <scheme val="minor"/>
      </rPr>
      <t>total expected salary</t>
    </r>
    <r>
      <rPr>
        <sz val="11"/>
        <color theme="1"/>
        <rFont val="Calibri"/>
        <family val="2"/>
        <scheme val="minor"/>
      </rPr>
      <t xml:space="preserve"> for Bangalore applicants.</t>
    </r>
  </si>
  <si>
    <t>Q14</t>
  </si>
  <si>
    <t>Calculate the total expected salary for:</t>
  </si>
  <si>
    <t>Q15</t>
  </si>
  <si>
    <t>Employee Referral + Selected</t>
  </si>
  <si>
    <t>Exercise 9 — AVERAGEIFS</t>
  </si>
  <si>
    <t>Q16</t>
  </si>
  <si>
    <r>
      <t xml:space="preserve">Find the </t>
    </r>
    <r>
      <rPr>
        <b/>
        <sz val="11"/>
        <color theme="1"/>
        <rFont val="Calibri"/>
        <family val="2"/>
        <scheme val="minor"/>
      </rPr>
      <t>average expected salary of Bangalore applicants</t>
    </r>
    <r>
      <rPr>
        <sz val="11"/>
        <color theme="1"/>
        <rFont val="Calibri"/>
        <family val="2"/>
        <scheme val="minor"/>
      </rPr>
      <t>.</t>
    </r>
  </si>
  <si>
    <t>Q17</t>
  </si>
  <si>
    <r>
      <t xml:space="preserve">Find the average expected salary of </t>
    </r>
    <r>
      <rPr>
        <b/>
        <sz val="11"/>
        <color theme="1"/>
        <rFont val="Calibri"/>
        <family val="2"/>
        <scheme val="minor"/>
      </rPr>
      <t>IT applicants with Interview status</t>
    </r>
    <r>
      <rPr>
        <sz val="11"/>
        <color theme="1"/>
        <rFont val="Calibri"/>
        <family val="2"/>
        <scheme val="minor"/>
      </rPr>
      <t>.</t>
    </r>
  </si>
  <si>
    <t>Exercise 10 — Date Functions</t>
  </si>
  <si>
    <t>Create a column:</t>
  </si>
  <si>
    <t>Application Month</t>
  </si>
  <si>
    <t>Q18</t>
  </si>
  <si>
    <t>Extract the month from Application Date.</t>
  </si>
  <si>
    <t>Then create:</t>
  </si>
  <si>
    <t>Application Year</t>
  </si>
  <si>
    <t>Q19</t>
  </si>
  <si>
    <t>Extract the year from Application Date.</t>
  </si>
  <si>
    <t>Month</t>
  </si>
  <si>
    <t>Year</t>
  </si>
  <si>
    <t>Exercise 11 — Pivot Table</t>
  </si>
  <si>
    <t>Create a Pivot Table.</t>
  </si>
  <si>
    <t>Q20</t>
  </si>
  <si>
    <t>Rows:</t>
  </si>
  <si>
    <t>Values:</t>
  </si>
  <si>
    <t>Count of Applicant ID</t>
  </si>
  <si>
    <t>Average of Salary Expected</t>
  </si>
  <si>
    <t>You should be able to answer:</t>
  </si>
  <si>
    <t>Row Labels</t>
  </si>
  <si>
    <t>Grand Total</t>
  </si>
  <si>
    <t>Exercise 12 — MIS Summary</t>
  </si>
  <si>
    <t>Create a small summary section containing:</t>
  </si>
  <si>
    <t>KPI</t>
  </si>
  <si>
    <t>Value</t>
  </si>
  <si>
    <t>Total Applicants</t>
  </si>
  <si>
    <t>Bangalore Applicants</t>
  </si>
  <si>
    <t>Employee Referral Applicants</t>
  </si>
  <si>
    <t>Average Expected Salary</t>
  </si>
  <si>
    <t>Duplicate Applicants</t>
  </si>
  <si>
    <t>Your manager asks:</t>
  </si>
  <si>
    <t>"Give me the number of Bangalore IT candidates who came through Employee Referral, have more than 1 year of experience, and are currently in Interview status."</t>
  </si>
  <si>
    <t>Q22</t>
  </si>
  <si>
    <r>
      <t xml:space="preserve">Write </t>
    </r>
    <r>
      <rPr>
        <b/>
        <sz val="11"/>
        <color theme="1"/>
        <rFont val="Calibri"/>
        <family val="2"/>
        <scheme val="minor"/>
      </rPr>
      <t>one formula</t>
    </r>
    <r>
      <rPr>
        <sz val="11"/>
        <color theme="1"/>
        <rFont val="Calibri"/>
        <family val="2"/>
        <scheme val="minor"/>
      </rPr>
      <t xml:space="preserve"> to calculate this.</t>
    </r>
  </si>
  <si>
    <t xml:space="preserve">Calculate the total expected salary for:  </t>
  </si>
  <si>
    <t>IT+Selected :</t>
  </si>
  <si>
    <t>Employee ID</t>
  </si>
  <si>
    <t>Employee Name</t>
  </si>
  <si>
    <t>Joining Date</t>
  </si>
  <si>
    <t>Salary</t>
  </si>
  <si>
    <t>Performance</t>
  </si>
  <si>
    <t>Anu</t>
  </si>
  <si>
    <t>Joined</t>
  </si>
  <si>
    <t>Referral</t>
  </si>
  <si>
    <t>Pending</t>
  </si>
  <si>
    <t>Kiran</t>
  </si>
  <si>
    <t>Walk-in</t>
  </si>
  <si>
    <t>Deepak</t>
  </si>
  <si>
    <t>Asha</t>
  </si>
  <si>
    <t>Rohan</t>
  </si>
  <si>
    <t>Neha</t>
  </si>
  <si>
    <t>PART 1 — Data Cleaning</t>
  </si>
  <si>
    <r>
      <t xml:space="preserve">Check the </t>
    </r>
    <r>
      <rPr>
        <b/>
        <sz val="11"/>
        <color theme="1"/>
        <rFont val="Calibri"/>
        <family val="2"/>
        <scheme val="minor"/>
      </rPr>
      <t>Employee ID</t>
    </r>
    <r>
      <rPr>
        <sz val="11"/>
        <color theme="1"/>
        <rFont val="Calibri"/>
        <family val="2"/>
        <scheme val="minor"/>
      </rPr>
      <t xml:space="preserve"> column for duplicates and create:</t>
    </r>
  </si>
  <si>
    <t>Mark each record as:</t>
  </si>
  <si>
    <t>Duplicate</t>
  </si>
  <si>
    <t>Unique</t>
  </si>
  <si>
    <t>Experience Category</t>
  </si>
  <si>
    <t>0–1 years → Fresher</t>
  </si>
  <si>
    <t>2–3 years → Intermediate</t>
  </si>
  <si>
    <t>4+ years → Experienced</t>
  </si>
  <si>
    <r>
      <t xml:space="preserve">Check whether there are any </t>
    </r>
    <r>
      <rPr>
        <b/>
        <sz val="11"/>
        <color theme="1"/>
        <rFont val="Calibri"/>
        <family val="2"/>
        <scheme val="minor"/>
      </rPr>
      <t>blank cells</t>
    </r>
    <r>
      <rPr>
        <sz val="11"/>
        <color theme="1"/>
        <rFont val="Calibri"/>
        <family val="2"/>
        <scheme val="minor"/>
      </rPr>
      <t xml:space="preserve"> in the dataset.</t>
    </r>
  </si>
  <si>
    <t>If there are, identify the column and handle them appropriately.</t>
  </si>
  <si>
    <t>PART 2 — Conditional Logic</t>
  </si>
  <si>
    <t>Performance Category</t>
  </si>
  <si>
    <t>90 or above → Excellent</t>
  </si>
  <si>
    <t>80–89 → Good</t>
  </si>
  <si>
    <t>70–79 → Average</t>
  </si>
  <si>
    <t>Below 70 → Needs Improvement</t>
  </si>
  <si>
    <t>₹500,000 or above → High</t>
  </si>
  <si>
    <t>₹400,000–₹499,999 → Medium</t>
  </si>
  <si>
    <t>Below ₹400,000 → Low</t>
  </si>
  <si>
    <t>Referral → 5%</t>
  </si>
  <si>
    <t>Naukri → 2%</t>
  </si>
  <si>
    <t>LinkedIn → 2%</t>
  </si>
  <si>
    <t>Walk-in → 1%</t>
  </si>
  <si>
    <t>PART 3 — COUNT / COUNTIFS</t>
  </si>
  <si>
    <r>
      <t xml:space="preserve">How many employees are from </t>
    </r>
    <r>
      <rPr>
        <b/>
        <sz val="11"/>
        <color theme="1"/>
        <rFont val="Calibri"/>
        <family val="2"/>
        <scheme val="minor"/>
      </rPr>
      <t>Bangalore</t>
    </r>
    <r>
      <rPr>
        <sz val="11"/>
        <color theme="1"/>
        <rFont val="Calibri"/>
        <family val="2"/>
        <scheme val="minor"/>
      </rPr>
      <t>?</t>
    </r>
  </si>
  <si>
    <r>
      <t xml:space="preserve">How many employees are from </t>
    </r>
    <r>
      <rPr>
        <b/>
        <sz val="11"/>
        <color theme="1"/>
        <rFont val="Calibri"/>
        <family val="2"/>
        <scheme val="minor"/>
      </rPr>
      <t>Bangalore AND IT</t>
    </r>
    <r>
      <rPr>
        <sz val="11"/>
        <color theme="1"/>
        <rFont val="Calibri"/>
        <family val="2"/>
        <scheme val="minor"/>
      </rPr>
      <t>?</t>
    </r>
  </si>
  <si>
    <t>How many employees are:</t>
  </si>
  <si>
    <t>Bangalore + Joined</t>
  </si>
  <si>
    <r>
      <t xml:space="preserve">How many employees came through </t>
    </r>
    <r>
      <rPr>
        <b/>
        <sz val="11"/>
        <color theme="1"/>
        <rFont val="Calibri"/>
        <family val="2"/>
        <scheme val="minor"/>
      </rPr>
      <t>Referral</t>
    </r>
    <r>
      <rPr>
        <sz val="11"/>
        <color theme="1"/>
        <rFont val="Calibri"/>
        <family val="2"/>
        <scheme val="minor"/>
      </rPr>
      <t xml:space="preserve"> and are </t>
    </r>
    <r>
      <rPr>
        <b/>
        <sz val="11"/>
        <color theme="1"/>
        <rFont val="Calibri"/>
        <family val="2"/>
        <scheme val="minor"/>
      </rPr>
      <t>Joined</t>
    </r>
    <r>
      <rPr>
        <sz val="11"/>
        <color theme="1"/>
        <rFont val="Calibri"/>
        <family val="2"/>
        <scheme val="minor"/>
      </rPr>
      <t>?</t>
    </r>
  </si>
  <si>
    <r>
      <t xml:space="preserve">How many employees have </t>
    </r>
    <r>
      <rPr>
        <b/>
        <sz val="11"/>
        <color theme="1"/>
        <rFont val="Calibri"/>
        <family val="2"/>
        <scheme val="minor"/>
      </rPr>
      <t>Performance &gt;= 85</t>
    </r>
    <r>
      <rPr>
        <sz val="11"/>
        <color theme="1"/>
        <rFont val="Calibri"/>
        <family val="2"/>
        <scheme val="minor"/>
      </rPr>
      <t>?</t>
    </r>
  </si>
  <si>
    <t>PART 4 — SUM / AVERAGE</t>
  </si>
  <si>
    <r>
      <t xml:space="preserve">Find the </t>
    </r>
    <r>
      <rPr>
        <b/>
        <sz val="11"/>
        <color theme="1"/>
        <rFont val="Calibri"/>
        <family val="2"/>
        <scheme val="minor"/>
      </rPr>
      <t>total salary</t>
    </r>
    <r>
      <rPr>
        <sz val="11"/>
        <color theme="1"/>
        <rFont val="Calibri"/>
        <family val="2"/>
        <scheme val="minor"/>
      </rPr>
      <t xml:space="preserve"> of all employees.</t>
    </r>
  </si>
  <si>
    <r>
      <t xml:space="preserve">Find the total salary of </t>
    </r>
    <r>
      <rPr>
        <b/>
        <sz val="11"/>
        <color theme="1"/>
        <rFont val="Calibri"/>
        <family val="2"/>
        <scheme val="minor"/>
      </rPr>
      <t>Bangalore employees</t>
    </r>
    <r>
      <rPr>
        <sz val="11"/>
        <color theme="1"/>
        <rFont val="Calibri"/>
        <family val="2"/>
        <scheme val="minor"/>
      </rPr>
      <t>.</t>
    </r>
  </si>
  <si>
    <r>
      <t xml:space="preserve">Find the total salary of </t>
    </r>
    <r>
      <rPr>
        <b/>
        <sz val="11"/>
        <color theme="1"/>
        <rFont val="Calibri"/>
        <family val="2"/>
        <scheme val="minor"/>
      </rPr>
      <t>IT employees who have Joined</t>
    </r>
    <r>
      <rPr>
        <sz val="11"/>
        <color theme="1"/>
        <rFont val="Calibri"/>
        <family val="2"/>
        <scheme val="minor"/>
      </rPr>
      <t>.</t>
    </r>
  </si>
  <si>
    <r>
      <t xml:space="preserve">Find the </t>
    </r>
    <r>
      <rPr>
        <b/>
        <sz val="11"/>
        <color theme="1"/>
        <rFont val="Calibri"/>
        <family val="2"/>
        <scheme val="minor"/>
      </rPr>
      <t>average salary of Bangalore employees</t>
    </r>
    <r>
      <rPr>
        <sz val="11"/>
        <color theme="1"/>
        <rFont val="Calibri"/>
        <family val="2"/>
        <scheme val="minor"/>
      </rPr>
      <t>.</t>
    </r>
  </si>
  <si>
    <r>
      <t xml:space="preserve">Find the average performance score of </t>
    </r>
    <r>
      <rPr>
        <b/>
        <sz val="11"/>
        <color theme="1"/>
        <rFont val="Calibri"/>
        <family val="2"/>
        <scheme val="minor"/>
      </rPr>
      <t>IT employees</t>
    </r>
    <r>
      <rPr>
        <sz val="11"/>
        <color theme="1"/>
        <rFont val="Calibri"/>
        <family val="2"/>
        <scheme val="minor"/>
      </rPr>
      <t>.</t>
    </r>
  </si>
  <si>
    <t>PART 5 — Date Analysis</t>
  </si>
  <si>
    <t>Joining Month</t>
  </si>
  <si>
    <t>Extract the month from Joining Date.</t>
  </si>
  <si>
    <t>Joining Year</t>
  </si>
  <si>
    <t>Extract the year.</t>
  </si>
  <si>
    <r>
      <t xml:space="preserve">Find how many employees joined in </t>
    </r>
    <r>
      <rPr>
        <b/>
        <sz val="11"/>
        <color theme="1"/>
        <rFont val="Calibri"/>
        <family val="2"/>
        <scheme val="minor"/>
      </rPr>
      <t>April 2026</t>
    </r>
    <r>
      <rPr>
        <sz val="11"/>
        <color theme="1"/>
        <rFont val="Calibri"/>
        <family val="2"/>
        <scheme val="minor"/>
      </rPr>
      <t>.</t>
    </r>
  </si>
  <si>
    <t>PART 6 — Data Validation</t>
  </si>
  <si>
    <t>Apply Data Validation dropdowns to the appropriate columns.</t>
  </si>
  <si>
    <t>PART 7 — Conditional Formatting</t>
  </si>
  <si>
    <t>Q21</t>
  </si>
  <si>
    <t>Apply conditional formatting to:</t>
  </si>
  <si>
    <r>
      <t xml:space="preserve">1. Performance </t>
    </r>
    <r>
      <rPr>
        <b/>
        <sz val="11"/>
        <color theme="1"/>
        <rFont val="Calibri"/>
        <family val="2"/>
        <scheme val="minor"/>
      </rPr>
      <t>&gt;= 90</t>
    </r>
  </si>
  <si>
    <r>
      <t xml:space="preserve">2. Salary </t>
    </r>
    <r>
      <rPr>
        <b/>
        <sz val="11"/>
        <color theme="1"/>
        <rFont val="Calibri"/>
        <family val="2"/>
        <scheme val="minor"/>
      </rPr>
      <t>&gt;= ₹500,000</t>
    </r>
  </si>
  <si>
    <r>
      <t xml:space="preserve">3. Status = </t>
    </r>
    <r>
      <rPr>
        <b/>
        <sz val="11"/>
        <color theme="1"/>
        <rFont val="Calibri"/>
        <family val="2"/>
        <scheme val="minor"/>
      </rPr>
      <t>Rejected</t>
    </r>
  </si>
  <si>
    <t>4. Duplicate Employee IDs</t>
  </si>
  <si>
    <t>PART 8 — Pivot Table</t>
  </si>
  <si>
    <t>Create a Pivot Table with:</t>
  </si>
  <si>
    <t>Rows</t>
  </si>
  <si>
    <t>Values</t>
  </si>
  <si>
    <t>Count of Employee ID</t>
  </si>
  <si>
    <t>Average of Salary</t>
  </si>
  <si>
    <t>Average of Performance</t>
  </si>
  <si>
    <t>Q23</t>
  </si>
  <si>
    <t>Using your Pivot Table, determine:</t>
  </si>
  <si>
    <t>How many IT employees are in Bangalore?</t>
  </si>
  <si>
    <t>Q24</t>
  </si>
  <si>
    <t>What is the average salary of Finance employees in Bangalore?</t>
  </si>
  <si>
    <t>PART 9 — MIS KPI Summary</t>
  </si>
  <si>
    <t>Create a summary table somewhere on the sheet:</t>
  </si>
  <si>
    <t>Total Employees</t>
  </si>
  <si>
    <t>Bangalore Employees</t>
  </si>
  <si>
    <t>IT Employees</t>
  </si>
  <si>
    <t>Referral Hires</t>
  </si>
  <si>
    <t>Average Salary</t>
  </si>
  <si>
    <t>Average Performance</t>
  </si>
  <si>
    <t>Duplicate Records</t>
  </si>
  <si>
    <t>NO Blank</t>
  </si>
  <si>
    <t>Validation List (Source)</t>
  </si>
  <si>
    <t>Data Validation</t>
  </si>
  <si>
    <t>Refer Data Validation Sheet</t>
  </si>
  <si>
    <t>Siddharth</t>
  </si>
  <si>
    <t>Yamini</t>
  </si>
  <si>
    <t>Dinesh</t>
  </si>
  <si>
    <t>Nikhil</t>
  </si>
  <si>
    <t>Applied</t>
  </si>
  <si>
    <t>Vishal</t>
  </si>
  <si>
    <t>Kochi</t>
  </si>
  <si>
    <t>Jeeva</t>
  </si>
  <si>
    <t>Mumbai</t>
  </si>
  <si>
    <t>Business Analyst</t>
  </si>
  <si>
    <t>Harish</t>
  </si>
  <si>
    <t>Sanjay</t>
  </si>
  <si>
    <t>Delhi</t>
  </si>
  <si>
    <t>Software Developer</t>
  </si>
  <si>
    <t>Anand</t>
  </si>
  <si>
    <t>Shalini</t>
  </si>
  <si>
    <t>Coimbatore</t>
  </si>
  <si>
    <t>Rekha</t>
  </si>
  <si>
    <t>Tarun</t>
  </si>
  <si>
    <t>Riya</t>
  </si>
  <si>
    <t>Pranav</t>
  </si>
  <si>
    <t>Aishwarya</t>
  </si>
  <si>
    <t>Amrutha</t>
  </si>
  <si>
    <t>Gautham</t>
  </si>
  <si>
    <t>Monica</t>
  </si>
  <si>
    <t>Amal</t>
  </si>
  <si>
    <t>Dhanush</t>
  </si>
  <si>
    <t>Rani</t>
  </si>
  <si>
    <t>Aakash</t>
  </si>
  <si>
    <t>Chaitanya</t>
  </si>
  <si>
    <t>Varsha</t>
  </si>
  <si>
    <t>Shreya</t>
  </si>
  <si>
    <t>Bhavya</t>
  </si>
  <si>
    <t>Akash</t>
  </si>
  <si>
    <t>Farhan</t>
  </si>
  <si>
    <t>Ravi</t>
  </si>
  <si>
    <t>Vijay</t>
  </si>
  <si>
    <t>Nandhini</t>
  </si>
  <si>
    <t>Preethi</t>
  </si>
  <si>
    <t>Sachin</t>
  </si>
  <si>
    <t>Isha</t>
  </si>
  <si>
    <t>Rakesh</t>
  </si>
  <si>
    <t>Ananya</t>
  </si>
  <si>
    <t>Tejas</t>
  </si>
  <si>
    <t>Reshma</t>
  </si>
  <si>
    <t>Financial Analyst</t>
  </si>
  <si>
    <t>Surya</t>
  </si>
  <si>
    <t>Sanjana</t>
  </si>
  <si>
    <t>Process Associate</t>
  </si>
  <si>
    <t>Sathish</t>
  </si>
  <si>
    <t>Nithin</t>
  </si>
  <si>
    <t>Data Scientist</t>
  </si>
  <si>
    <t>Sowmya</t>
  </si>
  <si>
    <t>Bharath</t>
  </si>
  <si>
    <t>Keerthana</t>
  </si>
  <si>
    <t>Gokul</t>
  </si>
  <si>
    <t>Aravind</t>
  </si>
  <si>
    <t>Akshaya</t>
  </si>
  <si>
    <t>Ashwin</t>
  </si>
  <si>
    <t>Maya</t>
  </si>
  <si>
    <t>Vaishnavi</t>
  </si>
  <si>
    <t>Aditya</t>
  </si>
  <si>
    <t>Madhavan</t>
  </si>
  <si>
    <t>Count of Incentives</t>
  </si>
  <si>
    <t>Avg of Salary Expected</t>
  </si>
  <si>
    <t>Salary  Category</t>
  </si>
  <si>
    <t>HR Workforce Analytics Dashboard</t>
  </si>
  <si>
    <t>Excel practice project • Recruitment, workforce, salary and hiring insights</t>
  </si>
  <si>
    <t>Key Metrics</t>
  </si>
  <si>
    <t>Average Experience</t>
  </si>
  <si>
    <t>Highest Salary</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</si>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</sst>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
    <numFmt numFmtId="165" formatCode="0.0&quot; yrs&quot;"/>
    <numFmt numFmtId="166" formatCode="0.0"/>
  </numFmts>
  <fonts count="25">
    <font>
      <sz val="11"/>
      <color theme="1"/>
      <name val="Calibri"/>
      <family val="2"/>
      <scheme val="minor"/>
    </font>
    <font>
      <b/>
      <sz val="11"/>
      <color theme="1"/>
      <name val="Calibri"/>
      <family val="2"/>
      <scheme val="minor"/>
    </font>
    <font>
      <b/>
      <sz val="24"/>
      <color theme="1"/>
      <name val="Calibri"/>
      <family val="2"/>
      <scheme val="minor"/>
    </font>
    <font>
      <b/>
      <sz val="13.5"/>
      <color theme="1"/>
      <name val="Calibri"/>
      <family val="2"/>
      <scheme val="minor"/>
    </font>
    <font>
      <sz val="10"/>
      <color theme="1"/>
      <name val="Arial Unicode MS"/>
    </font>
    <font>
      <b/>
      <sz val="11"/>
      <color theme="0"/>
      <name val="Calibri"/>
      <family val="2"/>
      <scheme val="minor"/>
    </font>
    <font>
      <sz val="11"/>
      <name val="Calibri"/>
      <family val="2"/>
      <scheme val="minor"/>
    </font>
    <font>
      <b/>
      <sz val="16"/>
      <color theme="0"/>
      <name val="Calibri"/>
      <family val="2"/>
      <scheme val="minor"/>
    </font>
    <font>
      <sz val="11"/>
      <color rgb="FFFF0000"/>
      <name val="Calibri"/>
      <family val="2"/>
      <scheme val="minor"/>
    </font>
    <font>
      <b/>
      <sz val="24"/>
      <color rgb="FF222222"/>
      <name val="Calibri"/>
    </font>
    <font>
      <i/>
      <sz val="10"/>
      <color rgb="FF666666"/>
      <name val="Calibri"/>
    </font>
    <font>
      <b/>
      <sz val="11"/>
      <color rgb="FFFFFFFF"/>
      <name val="Calibri"/>
    </font>
    <font>
      <b/>
      <sz val="22"/>
      <color rgb="FF548235"/>
      <name val="Calibri"/>
    </font>
    <font>
      <b/>
      <sz val="22"/>
      <color rgb="FFED7D31"/>
      <name val="Calibri"/>
    </font>
    <font>
      <b/>
      <sz val="22"/>
      <color rgb="FFC00000"/>
      <name val="Calibri"/>
    </font>
    <font>
      <b/>
      <sz val="12"/>
      <color rgb="FF17365D"/>
      <name val="Calibri"/>
    </font>
    <font>
      <b/>
      <sz val="13"/>
      <color rgb="FF222222"/>
      <name val="Calibri"/>
    </font>
    <font>
      <sz val="9"/>
      <color rgb="FF666666"/>
      <name val="Calibri"/>
    </font>
    <font>
      <i/>
      <sz val="9"/>
      <color rgb="FF666666"/>
      <name val="Calibri"/>
    </font>
    <font>
      <sz val="11"/>
      <color theme="0"/>
      <name val="Calibri"/>
      <family val="2"/>
      <scheme val="minor"/>
    </font>
    <font>
      <b/>
      <sz val="12"/>
      <color rgb="FF222222"/>
      <name val="Calibri"/>
      <family val="2"/>
    </font>
    <font>
      <b/>
      <sz val="11"/>
      <color rgb="FFFFFFFF"/>
      <name val="Calibri"/>
      <family val="2"/>
    </font>
    <font>
      <b/>
      <sz val="14"/>
      <color theme="0"/>
      <name val="Calibri"/>
      <family val="2"/>
    </font>
    <font>
      <b/>
      <sz val="22"/>
      <color theme="4" tint="-0.499984740745262"/>
      <name val="Calibri"/>
      <family val="2"/>
    </font>
    <font>
      <sz val="11"/>
      <color theme="4" tint="-0.499984740745262"/>
      <name val="Calibri"/>
      <family val="2"/>
      <scheme val="minor"/>
    </font>
  </fonts>
  <fills count="18">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rgb="FFFFFFFF"/>
      </patternFill>
    </fill>
    <fill>
      <patternFill patternType="solid">
        <fgColor rgb="FF548235"/>
      </patternFill>
    </fill>
    <fill>
      <patternFill patternType="solid">
        <fgColor rgb="FFED7D31"/>
      </patternFill>
    </fill>
    <fill>
      <patternFill patternType="solid">
        <fgColor rgb="FFC00000"/>
      </patternFill>
    </fill>
    <fill>
      <patternFill patternType="solid">
        <fgColor theme="4" tint="-0.249977111117893"/>
        <bgColor indexed="64"/>
      </patternFill>
    </fill>
    <fill>
      <patternFill patternType="solid">
        <fgColor theme="4" tint="-0.49998474074526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D9E1F2"/>
      </left>
      <right style="thin">
        <color rgb="FFD9E1F2"/>
      </right>
      <top style="thin">
        <color rgb="FFD9E1F2"/>
      </top>
      <bottom style="thin">
        <color rgb="FFD9E1F2"/>
      </bottom>
      <diagonal/>
    </border>
    <border>
      <left/>
      <right style="thin">
        <color rgb="FFD9E1F2"/>
      </right>
      <top style="thin">
        <color rgb="FFD9E1F2"/>
      </top>
      <bottom style="thin">
        <color rgb="FFD9E1F2"/>
      </bottom>
      <diagonal/>
    </border>
    <border>
      <left/>
      <right style="thin">
        <color rgb="FFD9E1F2"/>
      </right>
      <top style="thin">
        <color rgb="FFD9E1F2"/>
      </top>
      <bottom/>
      <diagonal/>
    </border>
    <border>
      <left style="thin">
        <color rgb="FFD9E1F2"/>
      </left>
      <right/>
      <top/>
      <bottom style="thin">
        <color rgb="FFD9E1F2"/>
      </bottom>
      <diagonal/>
    </border>
    <border>
      <left/>
      <right style="thin">
        <color rgb="FFD9E1F2"/>
      </right>
      <top/>
      <bottom style="thin">
        <color rgb="FFD9E1F2"/>
      </bottom>
      <diagonal/>
    </border>
  </borders>
  <cellStyleXfs count="1">
    <xf numFmtId="0" fontId="0" fillId="0" borderId="0"/>
  </cellStyleXfs>
  <cellXfs count="150">
    <xf numFmtId="0" fontId="0" fillId="0" borderId="0" xfId="0"/>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0" fontId="2" fillId="0" borderId="0" xfId="0" applyFont="1" applyAlignment="1">
      <alignment vertical="center"/>
    </xf>
    <xf numFmtId="0" fontId="3" fillId="0" borderId="0" xfId="0" applyFont="1" applyAlignment="1">
      <alignment vertical="center"/>
    </xf>
    <xf numFmtId="0" fontId="0" fillId="3" borderId="0" xfId="0" applyFill="1"/>
    <xf numFmtId="0" fontId="1" fillId="0" borderId="0" xfId="0" applyFont="1"/>
    <xf numFmtId="0" fontId="0" fillId="0" borderId="0" xfId="0" applyAlignment="1">
      <alignment horizontal="left" vertical="center" indent="1"/>
    </xf>
    <xf numFmtId="0" fontId="4"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1" fillId="4" borderId="1" xfId="0" applyFont="1" applyFill="1" applyBorder="1" applyAlignment="1">
      <alignment horizontal="center" vertical="center" wrapText="1"/>
    </xf>
    <xf numFmtId="0" fontId="0" fillId="2" borderId="1" xfId="0" applyFill="1" applyBorder="1" applyAlignment="1">
      <alignment vertical="center" wrapText="1"/>
    </xf>
    <xf numFmtId="0" fontId="0" fillId="3" borderId="1" xfId="0" applyFill="1" applyBorder="1" applyAlignment="1">
      <alignment vertical="center" wrapText="1"/>
    </xf>
    <xf numFmtId="0" fontId="0" fillId="3" borderId="1" xfId="0" applyFill="1" applyBorder="1"/>
    <xf numFmtId="0" fontId="0" fillId="2" borderId="1" xfId="0" applyFill="1" applyBorder="1"/>
    <xf numFmtId="0" fontId="0" fillId="2" borderId="1" xfId="0" applyFill="1" applyBorder="1" applyAlignment="1">
      <alignment horizontal="right" vertical="center" wrapText="1"/>
    </xf>
    <xf numFmtId="15" fontId="0" fillId="2" borderId="1" xfId="0" applyNumberFormat="1" applyFill="1" applyBorder="1" applyAlignment="1">
      <alignment vertical="center" wrapText="1"/>
    </xf>
    <xf numFmtId="0" fontId="5" fillId="5" borderId="2" xfId="0" applyFont="1" applyFill="1" applyBorder="1" applyAlignment="1">
      <alignment horizontal="center" vertical="center" wrapText="1"/>
    </xf>
    <xf numFmtId="0" fontId="5" fillId="5" borderId="5" xfId="0" applyFont="1" applyFill="1" applyBorder="1" applyAlignment="1">
      <alignment horizontal="right" vertical="center" wrapText="1"/>
    </xf>
    <xf numFmtId="0" fontId="5" fillId="5" borderId="5" xfId="0" applyFont="1" applyFill="1" applyBorder="1" applyAlignment="1">
      <alignment horizontal="center" vertical="center" wrapText="1"/>
    </xf>
    <xf numFmtId="0" fontId="0" fillId="6" borderId="0" xfId="0" applyFill="1"/>
    <xf numFmtId="0" fontId="5" fillId="5" borderId="3" xfId="0" applyFont="1" applyFill="1" applyBorder="1" applyAlignment="1">
      <alignment horizontal="center" vertical="center" wrapText="1"/>
    </xf>
    <xf numFmtId="1" fontId="0" fillId="6" borderId="0" xfId="0" applyNumberFormat="1" applyFill="1"/>
    <xf numFmtId="0" fontId="6" fillId="0" borderId="0" xfId="0" applyFont="1"/>
    <xf numFmtId="0" fontId="0" fillId="8" borderId="0" xfId="0" applyFill="1" applyAlignment="1">
      <alignment horizontal="center" vertical="center" wrapText="1"/>
    </xf>
    <xf numFmtId="0" fontId="0" fillId="3" borderId="0" xfId="0" applyFill="1" applyAlignment="1">
      <alignment horizontal="right" vertical="center" wrapText="1"/>
    </xf>
    <xf numFmtId="0" fontId="0" fillId="3" borderId="0" xfId="0" applyFill="1" applyAlignment="1">
      <alignment vertical="center" wrapText="1"/>
    </xf>
    <xf numFmtId="0" fontId="5" fillId="5" borderId="1" xfId="0" applyFont="1" applyFill="1" applyBorder="1" applyAlignment="1">
      <alignment horizontal="center"/>
    </xf>
    <xf numFmtId="0" fontId="6" fillId="7" borderId="1" xfId="0" applyFont="1" applyFill="1" applyBorder="1" applyAlignment="1">
      <alignment horizontal="right" vertical="center" wrapText="1"/>
    </xf>
    <xf numFmtId="0" fontId="0" fillId="7" borderId="1" xfId="0" applyFill="1" applyBorder="1" applyAlignment="1">
      <alignment horizontal="right" vertical="center" wrapText="1"/>
    </xf>
    <xf numFmtId="0" fontId="0" fillId="9" borderId="0" xfId="0" applyFill="1" applyAlignment="1">
      <alignment horizontal="right" vertical="center" wrapText="1"/>
    </xf>
    <xf numFmtId="0" fontId="0" fillId="9" borderId="0" xfId="0" applyFill="1" applyAlignment="1">
      <alignment vertical="center" wrapText="1"/>
    </xf>
    <xf numFmtId="15" fontId="0" fillId="9" borderId="0" xfId="0" applyNumberFormat="1" applyFill="1" applyAlignment="1">
      <alignment vertical="center" wrapText="1"/>
    </xf>
    <xf numFmtId="0" fontId="5" fillId="5" borderId="0" xfId="0" applyFont="1" applyFill="1" applyAlignment="1">
      <alignment horizontal="right" vertical="center" wrapText="1"/>
    </xf>
    <xf numFmtId="0" fontId="5" fillId="5" borderId="0" xfId="0" applyFont="1" applyFill="1" applyAlignment="1">
      <alignment horizontal="center" vertical="center" wrapText="1"/>
    </xf>
    <xf numFmtId="0" fontId="0" fillId="0" borderId="3" xfId="0" applyBorder="1" applyAlignment="1">
      <alignment horizontal="right" vertical="center" wrapText="1"/>
    </xf>
    <xf numFmtId="0" fontId="0" fillId="0" borderId="4" xfId="0" applyBorder="1" applyAlignment="1">
      <alignment horizontal="right" vertical="center" wrapText="1"/>
    </xf>
    <xf numFmtId="0" fontId="0" fillId="0" borderId="6" xfId="0" applyBorder="1" applyAlignment="1">
      <alignment horizontal="right" vertical="center" wrapText="1"/>
    </xf>
    <xf numFmtId="0" fontId="0" fillId="0" borderId="7" xfId="0" applyBorder="1" applyAlignment="1">
      <alignment horizontal="right" vertical="center" wrapText="1"/>
    </xf>
    <xf numFmtId="0" fontId="0" fillId="0" borderId="6" xfId="0" applyBorder="1" applyAlignment="1">
      <alignment vertical="center" wrapText="1"/>
    </xf>
    <xf numFmtId="0" fontId="0" fillId="0" borderId="7" xfId="0" applyBorder="1" applyAlignment="1">
      <alignment vertical="center" wrapText="1"/>
    </xf>
    <xf numFmtId="15" fontId="0" fillId="0" borderId="6" xfId="0" applyNumberFormat="1" applyBorder="1" applyAlignment="1">
      <alignment vertical="center" wrapText="1"/>
    </xf>
    <xf numFmtId="15" fontId="0" fillId="0" borderId="7" xfId="0" applyNumberFormat="1" applyBorder="1" applyAlignment="1">
      <alignment vertical="center" wrapText="1"/>
    </xf>
    <xf numFmtId="0" fontId="0" fillId="2" borderId="3" xfId="0" applyFill="1" applyBorder="1"/>
    <xf numFmtId="0" fontId="0" fillId="2" borderId="6" xfId="0" applyFill="1" applyBorder="1"/>
    <xf numFmtId="0" fontId="0" fillId="2" borderId="4" xfId="0" applyFill="1" applyBorder="1"/>
    <xf numFmtId="0" fontId="0" fillId="2" borderId="7" xfId="0" applyFill="1" applyBorder="1"/>
    <xf numFmtId="0" fontId="0" fillId="9" borderId="6" xfId="0" applyFill="1" applyBorder="1" applyAlignment="1">
      <alignment horizontal="right" vertical="center" wrapText="1"/>
    </xf>
    <xf numFmtId="0" fontId="0" fillId="9" borderId="6" xfId="0" applyFill="1" applyBorder="1" applyAlignment="1">
      <alignment vertical="center" wrapText="1"/>
    </xf>
    <xf numFmtId="0" fontId="0" fillId="9" borderId="3" xfId="0" applyFill="1" applyBorder="1" applyAlignment="1">
      <alignment vertical="center" wrapText="1"/>
    </xf>
    <xf numFmtId="15" fontId="0" fillId="9" borderId="6" xfId="0" applyNumberFormat="1" applyFill="1" applyBorder="1" applyAlignment="1">
      <alignment vertical="center" wrapText="1"/>
    </xf>
    <xf numFmtId="1" fontId="0" fillId="9" borderId="6" xfId="0" applyNumberFormat="1" applyFill="1" applyBorder="1" applyAlignment="1">
      <alignment horizontal="right" vertical="center" wrapText="1"/>
    </xf>
    <xf numFmtId="0" fontId="0" fillId="9" borderId="7" xfId="0" applyFill="1" applyBorder="1" applyAlignment="1">
      <alignment horizontal="right" vertical="center" wrapText="1"/>
    </xf>
    <xf numFmtId="0" fontId="0" fillId="9" borderId="7" xfId="0" applyFill="1" applyBorder="1" applyAlignment="1">
      <alignment vertical="center" wrapText="1"/>
    </xf>
    <xf numFmtId="0" fontId="0" fillId="9" borderId="4" xfId="0" applyFill="1" applyBorder="1" applyAlignment="1">
      <alignment vertical="center" wrapText="1"/>
    </xf>
    <xf numFmtId="15" fontId="0" fillId="9" borderId="7" xfId="0" applyNumberFormat="1" applyFill="1" applyBorder="1" applyAlignment="1">
      <alignment vertical="center" wrapText="1"/>
    </xf>
    <xf numFmtId="1" fontId="0" fillId="9" borderId="7" xfId="0" applyNumberFormat="1" applyFill="1" applyBorder="1" applyAlignment="1">
      <alignment horizontal="right" vertical="center" wrapText="1"/>
    </xf>
    <xf numFmtId="1" fontId="0" fillId="9" borderId="6" xfId="0" applyNumberFormat="1" applyFill="1" applyBorder="1" applyAlignment="1">
      <alignment vertical="center" wrapText="1"/>
    </xf>
    <xf numFmtId="1" fontId="0" fillId="9" borderId="7" xfId="0" applyNumberFormat="1" applyFill="1" applyBorder="1" applyAlignment="1">
      <alignment vertical="center" wrapText="1"/>
    </xf>
    <xf numFmtId="0" fontId="6" fillId="10" borderId="6" xfId="0" applyFont="1" applyFill="1" applyBorder="1" applyAlignment="1">
      <alignment horizontal="right" vertical="center" wrapText="1"/>
    </xf>
    <xf numFmtId="1" fontId="6" fillId="10" borderId="6" xfId="0" applyNumberFormat="1" applyFont="1" applyFill="1" applyBorder="1" applyAlignment="1">
      <alignment vertical="center" wrapText="1"/>
    </xf>
    <xf numFmtId="1" fontId="6" fillId="10" borderId="6" xfId="0" applyNumberFormat="1" applyFont="1" applyFill="1" applyBorder="1" applyAlignment="1">
      <alignment horizontal="right" vertical="center" wrapText="1"/>
    </xf>
    <xf numFmtId="0" fontId="6" fillId="10" borderId="7" xfId="0" applyFont="1" applyFill="1" applyBorder="1" applyAlignment="1">
      <alignment horizontal="right" vertical="center" wrapText="1"/>
    </xf>
    <xf numFmtId="1" fontId="6" fillId="10" borderId="7" xfId="0" applyNumberFormat="1" applyFont="1" applyFill="1" applyBorder="1" applyAlignment="1">
      <alignment vertical="center" wrapText="1"/>
    </xf>
    <xf numFmtId="1" fontId="6" fillId="10" borderId="7" xfId="0" applyNumberFormat="1" applyFont="1" applyFill="1" applyBorder="1" applyAlignment="1">
      <alignment horizontal="right" vertical="center" wrapText="1"/>
    </xf>
    <xf numFmtId="0" fontId="5" fillId="5" borderId="6" xfId="0" applyFont="1" applyFill="1" applyBorder="1" applyAlignment="1">
      <alignment horizontal="center" vertical="center" wrapText="1"/>
    </xf>
    <xf numFmtId="0" fontId="6" fillId="10" borderId="6" xfId="0" applyFont="1" applyFill="1" applyBorder="1" applyAlignment="1">
      <alignment vertical="center" wrapText="1"/>
    </xf>
    <xf numFmtId="0" fontId="0" fillId="11" borderId="1" xfId="0" applyFill="1" applyBorder="1" applyAlignment="1">
      <alignment vertical="center" wrapText="1"/>
    </xf>
    <xf numFmtId="0" fontId="0" fillId="6" borderId="1" xfId="0" applyFill="1" applyBorder="1"/>
    <xf numFmtId="1" fontId="0" fillId="6" borderId="1" xfId="0" applyNumberFormat="1" applyFill="1" applyBorder="1"/>
    <xf numFmtId="0" fontId="5" fillId="5" borderId="1" xfId="0" applyFont="1" applyFill="1" applyBorder="1" applyAlignment="1">
      <alignment horizontal="center" vertical="center" wrapText="1"/>
    </xf>
    <xf numFmtId="0" fontId="5" fillId="5" borderId="1" xfId="0" applyFont="1" applyFill="1" applyBorder="1" applyAlignment="1">
      <alignment horizontal="right" vertical="center" wrapText="1"/>
    </xf>
    <xf numFmtId="0" fontId="0" fillId="0" borderId="9" xfId="0" pivotButton="1" applyBorder="1"/>
    <xf numFmtId="0" fontId="0" fillId="0" borderId="5" xfId="0" applyBorder="1"/>
    <xf numFmtId="0" fontId="0" fillId="0" borderId="9" xfId="0" applyBorder="1"/>
    <xf numFmtId="0" fontId="0" fillId="0" borderId="10" xfId="0" applyBorder="1"/>
    <xf numFmtId="0" fontId="0" fillId="0" borderId="6" xfId="0" applyBorder="1"/>
    <xf numFmtId="0" fontId="0" fillId="0" borderId="11" xfId="0" applyBorder="1"/>
    <xf numFmtId="0" fontId="0" fillId="0" borderId="7" xfId="0" applyBorder="1"/>
    <xf numFmtId="0" fontId="6" fillId="10" borderId="7" xfId="0" applyFont="1" applyFill="1" applyBorder="1" applyAlignment="1">
      <alignment vertical="center" wrapText="1"/>
    </xf>
    <xf numFmtId="0" fontId="0" fillId="9" borderId="0" xfId="0" applyFill="1"/>
    <xf numFmtId="15" fontId="0" fillId="9" borderId="0" xfId="0" applyNumberFormat="1" applyFill="1"/>
    <xf numFmtId="0" fontId="8" fillId="0" borderId="0" xfId="0" applyFont="1"/>
    <xf numFmtId="0" fontId="5" fillId="5" borderId="12" xfId="0" applyFont="1" applyFill="1" applyBorder="1" applyAlignment="1">
      <alignment horizontal="center" vertical="center" wrapText="1"/>
    </xf>
    <xf numFmtId="0" fontId="5" fillId="5" borderId="12" xfId="0" applyFont="1" applyFill="1" applyBorder="1" applyAlignment="1">
      <alignment horizontal="right" vertical="center" wrapText="1"/>
    </xf>
    <xf numFmtId="0" fontId="0" fillId="7" borderId="0" xfId="0" applyFill="1"/>
    <xf numFmtId="0" fontId="0" fillId="9" borderId="8" xfId="0" applyFill="1" applyBorder="1"/>
    <xf numFmtId="0" fontId="0" fillId="7" borderId="3" xfId="0" applyFill="1" applyBorder="1"/>
    <xf numFmtId="0" fontId="0" fillId="7" borderId="5" xfId="0" applyFill="1" applyBorder="1"/>
    <xf numFmtId="0" fontId="0" fillId="7" borderId="6" xfId="0" applyFill="1" applyBorder="1"/>
    <xf numFmtId="0" fontId="0" fillId="7" borderId="7" xfId="0" applyFill="1" applyBorder="1"/>
    <xf numFmtId="0" fontId="0" fillId="9" borderId="6" xfId="0" applyFill="1" applyBorder="1"/>
    <xf numFmtId="0" fontId="0" fillId="9" borderId="7" xfId="0" applyFill="1" applyBorder="1"/>
    <xf numFmtId="15" fontId="0" fillId="9" borderId="6" xfId="0" applyNumberFormat="1" applyFill="1" applyBorder="1"/>
    <xf numFmtId="15" fontId="0" fillId="9" borderId="7" xfId="0" applyNumberFormat="1" applyFill="1" applyBorder="1"/>
    <xf numFmtId="0" fontId="5" fillId="5" borderId="0" xfId="0" applyFont="1" applyFill="1" applyAlignment="1">
      <alignment horizontal="center" vertical="center"/>
    </xf>
    <xf numFmtId="0" fontId="0" fillId="7" borderId="2" xfId="0" applyFill="1" applyBorder="1"/>
    <xf numFmtId="0" fontId="0" fillId="7" borderId="4" xfId="0" applyFill="1" applyBorder="1"/>
    <xf numFmtId="0" fontId="5" fillId="5" borderId="5" xfId="0" applyFont="1" applyFill="1" applyBorder="1" applyAlignment="1">
      <alignment horizontal="center" vertical="center"/>
    </xf>
    <xf numFmtId="0" fontId="5" fillId="5" borderId="0" xfId="0" applyFont="1" applyFill="1" applyAlignment="1">
      <alignment horizontal="center"/>
    </xf>
    <xf numFmtId="0" fontId="0" fillId="12" borderId="0" xfId="0" applyFill="1"/>
    <xf numFmtId="1" fontId="0" fillId="9" borderId="0" xfId="0" applyNumberFormat="1" applyFill="1" applyAlignment="1">
      <alignment vertical="center" wrapText="1"/>
    </xf>
    <xf numFmtId="1" fontId="0" fillId="0" borderId="0" xfId="0" applyNumberFormat="1" applyAlignment="1">
      <alignment vertical="center" wrapText="1"/>
    </xf>
    <xf numFmtId="0" fontId="20" fillId="9" borderId="16" xfId="0" applyFont="1" applyFill="1" applyBorder="1"/>
    <xf numFmtId="164" fontId="15" fillId="9" borderId="16" xfId="0" applyNumberFormat="1" applyFont="1" applyFill="1" applyBorder="1" applyAlignment="1">
      <alignment horizontal="right"/>
    </xf>
    <xf numFmtId="165" fontId="15" fillId="9" borderId="16" xfId="0" applyNumberFormat="1" applyFont="1" applyFill="1" applyBorder="1" applyAlignment="1">
      <alignment horizontal="right"/>
    </xf>
    <xf numFmtId="166" fontId="15" fillId="9" borderId="16" xfId="0" applyNumberFormat="1" applyFont="1" applyFill="1" applyBorder="1" applyAlignment="1">
      <alignment horizontal="right"/>
    </xf>
    <xf numFmtId="0" fontId="0" fillId="10" borderId="0" xfId="0" applyFill="1"/>
    <xf numFmtId="0" fontId="5" fillId="5" borderId="2" xfId="0" applyFont="1" applyFill="1" applyBorder="1" applyAlignment="1">
      <alignment horizontal="right" vertical="center" wrapText="1"/>
    </xf>
    <xf numFmtId="0" fontId="0" fillId="9" borderId="3" xfId="0" applyFill="1" applyBorder="1" applyAlignment="1">
      <alignment horizontal="right" vertical="center" wrapText="1"/>
    </xf>
    <xf numFmtId="0" fontId="0" fillId="9" borderId="3" xfId="0" applyFill="1" applyBorder="1"/>
    <xf numFmtId="0" fontId="0" fillId="9" borderId="4" xfId="0" applyFill="1" applyBorder="1"/>
    <xf numFmtId="0" fontId="16" fillId="12" borderId="0" xfId="0" applyFont="1" applyFill="1"/>
    <xf numFmtId="0" fontId="0" fillId="0" borderId="0" xfId="0"/>
    <xf numFmtId="0" fontId="17" fillId="12" borderId="0" xfId="0" applyFont="1" applyFill="1" applyAlignment="1">
      <alignment wrapText="1"/>
    </xf>
    <xf numFmtId="0" fontId="18" fillId="12" borderId="0" xfId="0" applyFont="1" applyFill="1" applyAlignment="1">
      <alignment horizontal="center"/>
    </xf>
    <xf numFmtId="1" fontId="23" fillId="12" borderId="16" xfId="0" applyNumberFormat="1" applyFont="1" applyFill="1" applyBorder="1" applyAlignment="1">
      <alignment horizontal="center" vertical="center"/>
    </xf>
    <xf numFmtId="0" fontId="24" fillId="0" borderId="18" xfId="0" applyFont="1" applyBorder="1"/>
    <xf numFmtId="0" fontId="24" fillId="0" borderId="19" xfId="0" applyFont="1" applyBorder="1"/>
    <xf numFmtId="0" fontId="24" fillId="0" borderId="20" xfId="0" applyFont="1" applyBorder="1"/>
    <xf numFmtId="1" fontId="12" fillId="12" borderId="16" xfId="0" applyNumberFormat="1" applyFont="1" applyFill="1" applyBorder="1" applyAlignment="1">
      <alignment horizontal="center" vertical="center"/>
    </xf>
    <xf numFmtId="0" fontId="0" fillId="0" borderId="18" xfId="0" applyBorder="1"/>
    <xf numFmtId="0" fontId="0" fillId="0" borderId="19" xfId="0" applyBorder="1"/>
    <xf numFmtId="0" fontId="0" fillId="0" borderId="20" xfId="0" applyBorder="1"/>
    <xf numFmtId="1" fontId="13" fillId="12" borderId="16" xfId="0" applyNumberFormat="1" applyFont="1" applyFill="1" applyBorder="1" applyAlignment="1">
      <alignment horizontal="center" vertical="center"/>
    </xf>
    <xf numFmtId="1" fontId="14" fillId="12" borderId="16" xfId="0" applyNumberFormat="1" applyFont="1" applyFill="1" applyBorder="1" applyAlignment="1">
      <alignment horizontal="center" vertical="center"/>
    </xf>
    <xf numFmtId="0" fontId="22" fillId="16" borderId="0" xfId="0" applyFont="1" applyFill="1" applyAlignment="1">
      <alignment horizontal="center"/>
    </xf>
    <xf numFmtId="0" fontId="19" fillId="16" borderId="0" xfId="0" applyFont="1" applyFill="1" applyAlignment="1">
      <alignment horizontal="center"/>
    </xf>
    <xf numFmtId="0" fontId="9" fillId="12" borderId="0" xfId="0" applyFont="1" applyFill="1" applyAlignment="1">
      <alignment horizontal="left" vertical="center"/>
    </xf>
    <xf numFmtId="0" fontId="10" fillId="12" borderId="0" xfId="0" applyFont="1" applyFill="1"/>
    <xf numFmtId="0" fontId="21" fillId="17" borderId="16" xfId="0" applyFont="1" applyFill="1" applyBorder="1" applyAlignment="1">
      <alignment horizontal="center" vertical="center"/>
    </xf>
    <xf numFmtId="0" fontId="0" fillId="17" borderId="17" xfId="0" applyFill="1" applyBorder="1"/>
    <xf numFmtId="0" fontId="11" fillId="13" borderId="16" xfId="0" applyFont="1" applyFill="1" applyBorder="1" applyAlignment="1">
      <alignment horizontal="center" vertical="center"/>
    </xf>
    <xf numFmtId="0" fontId="0" fillId="0" borderId="17" xfId="0" applyBorder="1"/>
    <xf numFmtId="0" fontId="11" fillId="14" borderId="16" xfId="0" applyFont="1" applyFill="1" applyBorder="1" applyAlignment="1">
      <alignment horizontal="center" vertical="center"/>
    </xf>
    <xf numFmtId="0" fontId="11" fillId="15" borderId="16" xfId="0" applyFont="1" applyFill="1" applyBorder="1" applyAlignment="1">
      <alignment horizontal="center" vertical="center"/>
    </xf>
    <xf numFmtId="0" fontId="11" fillId="17" borderId="16" xfId="0" applyFont="1" applyFill="1" applyBorder="1" applyAlignment="1">
      <alignment horizontal="center" vertical="center"/>
    </xf>
    <xf numFmtId="0" fontId="0" fillId="0" borderId="0" xfId="0" applyAlignment="1">
      <alignment horizontal="center"/>
    </xf>
    <xf numFmtId="0" fontId="0" fillId="2" borderId="0" xfId="0" applyFill="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0" fillId="2" borderId="15" xfId="0" applyFill="1" applyBorder="1" applyAlignment="1">
      <alignment horizontal="center"/>
    </xf>
    <xf numFmtId="0" fontId="1" fillId="8" borderId="8" xfId="0" applyFont="1" applyFill="1" applyBorder="1" applyAlignment="1">
      <alignment horizontal="center" vertical="center" wrapText="1"/>
    </xf>
    <xf numFmtId="0" fontId="7" fillId="5" borderId="0" xfId="0" applyFont="1" applyFill="1" applyAlignment="1">
      <alignment horizontal="center"/>
    </xf>
    <xf numFmtId="0" fontId="0" fillId="5" borderId="0" xfId="0" applyFill="1" applyAlignment="1">
      <alignment horizontal="center"/>
    </xf>
  </cellXfs>
  <cellStyles count="1">
    <cellStyle name="Normal" xfId="0" builtinId="0"/>
  </cellStyles>
  <dxfs count="48">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patternType="solid">
          <bgColor theme="4" tint="0.59996337778862885"/>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tint="0.39997558519241921"/>
        </patternFill>
      </fill>
      <border diagonalUp="0" diagonalDown="0">
        <left style="thin">
          <color indexed="64"/>
        </left>
        <right style="thin">
          <color indexed="64"/>
        </right>
        <top/>
        <bottom/>
        <vertical/>
        <horizontal/>
      </border>
    </dxf>
    <dxf>
      <fill>
        <patternFill patternType="solid">
          <fgColor indexed="64"/>
          <bgColor theme="7" tint="0.39997558519241921"/>
        </patternFill>
      </fill>
      <border diagonalUp="0" diagonalDown="0">
        <left/>
        <right style="thin">
          <color indexed="64"/>
        </right>
        <top/>
        <bottom/>
        <vertical/>
        <horizontal/>
      </border>
    </dxf>
    <dxf>
      <fill>
        <patternFill patternType="solid">
          <fgColor indexed="64"/>
          <bgColor theme="7" tint="0.39997558519241921"/>
        </patternFill>
      </fill>
      <border diagonalUp="0" diagonalDown="0">
        <left style="thin">
          <color indexed="64"/>
        </left>
        <right style="thin">
          <color indexed="64"/>
        </right>
        <top/>
        <bottom/>
        <vertical/>
        <horizontal/>
      </border>
    </dxf>
    <dxf>
      <fill>
        <patternFill patternType="solid">
          <fgColor indexed="64"/>
          <bgColor theme="7" tint="0.39997558519241921"/>
        </patternFill>
      </fill>
    </dxf>
    <dxf>
      <fill>
        <patternFill patternType="solid">
          <fgColor indexed="64"/>
          <bgColor theme="7" tint="0.39997558519241921"/>
        </patternFill>
      </fill>
      <border diagonalUp="0" diagonalDown="0">
        <left style="thin">
          <color indexed="64"/>
        </left>
        <right style="thin">
          <color indexed="64"/>
        </right>
        <top/>
        <bottom/>
        <vertical/>
        <horizontal/>
      </border>
    </dxf>
    <dxf>
      <numFmt numFmtId="1" formatCode="0"/>
      <fill>
        <patternFill patternType="solid">
          <fgColor indexed="64"/>
          <bgColor theme="8" tint="0.79998168889431442"/>
        </patternFill>
      </fill>
      <alignment horizontal="general" vertical="center" textRotation="0" wrapText="1" indent="0" justifyLastLine="0" shrinkToFit="0" readingOrder="0"/>
    </dxf>
    <dxf>
      <fill>
        <patternFill patternType="solid">
          <fgColor indexed="64"/>
          <bgColor theme="8" tint="0.79998168889431442"/>
        </patternFill>
      </fill>
      <border diagonalUp="0" diagonalDown="0">
        <left style="thin">
          <color indexed="64"/>
        </left>
        <right style="thin">
          <color indexed="64"/>
        </right>
        <top/>
        <bottom/>
        <vertical/>
        <horizontal/>
      </border>
    </dxf>
    <dxf>
      <fill>
        <patternFill patternType="solid">
          <fgColor indexed="64"/>
          <bgColor theme="8" tint="0.79998168889431442"/>
        </patternFill>
      </fill>
    </dxf>
    <dxf>
      <numFmt numFmtId="20" formatCode="dd/mmm/yy"/>
      <fill>
        <patternFill patternType="solid">
          <fgColor indexed="64"/>
          <bgColor theme="8" tint="0.79998168889431442"/>
        </patternFill>
      </fill>
      <border diagonalUp="0" diagonalDown="0">
        <left style="thin">
          <color indexed="64"/>
        </left>
        <right style="thin">
          <color indexed="64"/>
        </right>
        <top/>
        <bottom/>
        <vertical/>
        <horizontal/>
      </border>
    </dxf>
    <dxf>
      <fill>
        <patternFill patternType="solid">
          <fgColor indexed="64"/>
          <bgColor theme="8" tint="0.79998168889431442"/>
        </patternFill>
      </fill>
    </dxf>
    <dxf>
      <fill>
        <patternFill patternType="solid">
          <fgColor indexed="64"/>
          <bgColor theme="8" tint="0.79998168889431442"/>
        </patternFill>
      </fill>
      <border diagonalUp="0" diagonalDown="0">
        <left style="thin">
          <color indexed="64"/>
        </left>
        <right style="thin">
          <color indexed="64"/>
        </right>
        <top/>
        <bottom/>
        <vertical/>
        <horizontal/>
      </border>
    </dxf>
    <dxf>
      <fill>
        <patternFill patternType="solid">
          <fgColor indexed="64"/>
          <bgColor theme="8" tint="0.79998168889431442"/>
        </patternFill>
      </fill>
      <border diagonalUp="0" diagonalDown="0">
        <left style="thin">
          <color indexed="64"/>
        </left>
        <right style="thin">
          <color indexed="64"/>
        </right>
        <top/>
        <bottom/>
        <vertical/>
        <horizontal/>
      </border>
    </dxf>
    <dxf>
      <fill>
        <patternFill patternType="solid">
          <fgColor indexed="64"/>
          <bgColor theme="8" tint="0.79998168889431442"/>
        </patternFill>
      </fill>
    </dxf>
    <dxf>
      <fill>
        <patternFill patternType="solid">
          <fgColor indexed="64"/>
          <bgColor theme="8" tint="0.79998168889431442"/>
        </patternFill>
      </fill>
      <border diagonalUp="0" diagonalDown="0">
        <left style="thin">
          <color indexed="64"/>
        </left>
        <right style="thin">
          <color indexed="64"/>
        </right>
        <top/>
        <bottom/>
        <vertical/>
        <horizontal/>
      </border>
    </dxf>
    <dxf>
      <fill>
        <patternFill patternType="solid">
          <fgColor indexed="64"/>
          <bgColor theme="8" tint="0.79998168889431442"/>
        </patternFill>
      </fill>
    </dxf>
    <dxf>
      <fill>
        <patternFill patternType="solid">
          <fgColor indexed="64"/>
          <bgColor theme="8" tint="0.79998168889431442"/>
        </patternFill>
      </fill>
      <border diagonalUp="0" diagonalDown="0">
        <left/>
        <right style="thin">
          <color indexed="64"/>
        </right>
        <top/>
        <bottom/>
        <vertical/>
        <horizontal/>
      </border>
    </dxf>
    <dxf>
      <border outline="0">
        <left style="thin">
          <color indexed="64"/>
        </left>
      </border>
    </dxf>
    <dxf>
      <fill>
        <patternFill patternType="solid">
          <fgColor indexed="64"/>
          <bgColor theme="7" tint="0.39997558519241921"/>
        </patternFill>
      </fill>
    </dxf>
  </dxfs>
  <tableStyles count="1" defaultTableStyle="TableStyleMedium2" defaultPivotStyle="PivotStyleLight16">
    <tableStyle name="Slicer Style 1" pivot="0" table="0" count="0" xr9:uid="{54D8FFCC-D789-4DE5-97CE-2993589F245B}"/>
  </tableStyles>
  <colors>
    <mruColors>
      <color rgb="FFC198E0"/>
      <color rgb="FFF69200"/>
      <color rgb="FF6CA644"/>
      <color rgb="FFEAB200"/>
      <color rgb="FFF2B800"/>
      <color rgb="FFDE0000"/>
      <color rgb="FFFFC611"/>
      <color rgb="FFEAEAEA"/>
      <color rgb="FF43A923"/>
      <color rgb="FFF0F0F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[practice.xlsx]Chart Analysis!PivotTable4</c:name>
    <c:fmtId val="13"/>
  </c:pivotSource>
  <c:chart>
    <c:title>
      <c:tx>
        <c:rich>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r>
              <a:rPr lang="en-US" sz="1600" b="1">
                <a:solidFill>
                  <a:schemeClr val="tx1"/>
                </a:solidFill>
              </a:rPr>
              <a:t>Source of Hire</a:t>
            </a:r>
          </a:p>
        </c:rich>
      </c:tx>
      <c:layout>
        <c:manualLayout>
          <c:xMode val="edge"/>
          <c:yMode val="edge"/>
          <c:x val="0.30613722222222223"/>
          <c:y val="3.0238095238095238E-2"/>
        </c:manualLayout>
      </c:layout>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tint val="77000"/>
            </a:schemeClr>
          </a:solidFill>
          <a:ln>
            <a:noFill/>
          </a:ln>
          <a:effectLst/>
        </c:spPr>
      </c:pivotFmt>
      <c:pivotFmt>
        <c:idx val="15"/>
        <c:spPr>
          <a:solidFill>
            <a:schemeClr val="accent1">
              <a:tint val="77000"/>
            </a:schemeClr>
          </a:solidFill>
          <a:ln>
            <a:noFill/>
          </a:ln>
          <a:effectLst/>
        </c:spPr>
      </c:pivotFmt>
      <c:pivotFmt>
        <c:idx val="16"/>
        <c:spPr>
          <a:solidFill>
            <a:schemeClr val="accent1">
              <a:tint val="77000"/>
            </a:schemeClr>
          </a:solidFill>
          <a:ln>
            <a:noFill/>
          </a:ln>
          <a:effectLst/>
        </c:spPr>
      </c:pivotFmt>
    </c:pivotFmts>
    <c:plotArea>
      <c:layout>
        <c:manualLayout>
          <c:layoutTarget val="inner"/>
          <c:xMode val="edge"/>
          <c:yMode val="edge"/>
          <c:x val="0.30636487480587415"/>
          <c:y val="0.18715496222870617"/>
          <c:w val="0.58982889682042339"/>
          <c:h val="0.74267802355768198"/>
        </c:manualLayout>
      </c:layout>
      <c:barChart>
        <c:barDir val="bar"/>
        <c:grouping val="clustered"/>
        <c:varyColors val="0"/>
        <c:ser>
          <c:idx val="1"/>
          <c:order val="0"/>
          <c:tx>
            <c:strRef>
              <c:f>'Chart Analysis'!$B$51</c:f>
              <c:strCache>
                <c:ptCount val="1"/>
                <c:pt idx="0">
                  <c:v>Total</c:v>
                </c:pt>
              </c:strCache>
            </c:strRef>
          </c:tx>
          <c:spPr>
            <a:solidFill>
              <a:schemeClr val="accent1">
                <a:tint val="77000"/>
              </a:schemeClr>
            </a:solidFill>
            <a:ln>
              <a:noFill/>
            </a:ln>
            <a:effectLst/>
          </c:spPr>
          <c:invertIfNegative val="0"/>
          <c:dPt>
            <c:idx val="0"/>
            <c:invertIfNegative val="0"/>
            <c:bubble3D val="0"/>
            <c:spPr>
              <a:solidFill>
                <a:schemeClr val="accent1">
                  <a:tint val="77000"/>
                </a:schemeClr>
              </a:solidFill>
              <a:ln>
                <a:noFill/>
              </a:ln>
              <a:effectLst/>
            </c:spPr>
            <c:extLst>
              <c:ext xmlns:c16="http://schemas.microsoft.com/office/drawing/2014/chart" uri="{C3380CC4-5D6E-409C-BE32-E72D297353CC}">
                <c16:uniqueId val="{00000001-A362-4B09-9785-A6738EBD134C}"/>
              </c:ext>
            </c:extLst>
          </c:dPt>
          <c:dPt>
            <c:idx val="2"/>
            <c:invertIfNegative val="0"/>
            <c:bubble3D val="0"/>
            <c:spPr>
              <a:solidFill>
                <a:schemeClr val="accent1">
                  <a:tint val="77000"/>
                </a:schemeClr>
              </a:solidFill>
              <a:ln>
                <a:noFill/>
              </a:ln>
              <a:effectLst/>
            </c:spPr>
            <c:extLst>
              <c:ext xmlns:c16="http://schemas.microsoft.com/office/drawing/2014/chart" uri="{C3380CC4-5D6E-409C-BE32-E72D297353CC}">
                <c16:uniqueId val="{00000003-A362-4B09-9785-A6738EBD134C}"/>
              </c:ext>
            </c:extLst>
          </c:dPt>
          <c:dPt>
            <c:idx val="3"/>
            <c:invertIfNegative val="0"/>
            <c:bubble3D val="0"/>
            <c:spPr>
              <a:solidFill>
                <a:schemeClr val="accent1">
                  <a:tint val="77000"/>
                </a:schemeClr>
              </a:solidFill>
              <a:ln>
                <a:noFill/>
              </a:ln>
              <a:effectLst/>
            </c:spPr>
            <c:extLst>
              <c:ext xmlns:c16="http://schemas.microsoft.com/office/drawing/2014/chart" uri="{C3380CC4-5D6E-409C-BE32-E72D297353CC}">
                <c16:uniqueId val="{00000005-A362-4B09-9785-A6738EBD134C}"/>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Analysis'!$A$52:$A$56</c:f>
              <c:strCache>
                <c:ptCount val="4"/>
                <c:pt idx="0">
                  <c:v>Employee Referral</c:v>
                </c:pt>
                <c:pt idx="1">
                  <c:v>Indeed</c:v>
                </c:pt>
                <c:pt idx="2">
                  <c:v>LinkedIn</c:v>
                </c:pt>
                <c:pt idx="3">
                  <c:v>Naukri</c:v>
                </c:pt>
              </c:strCache>
            </c:strRef>
          </c:cat>
          <c:val>
            <c:numRef>
              <c:f>'Chart Analysis'!$B$52:$B$56</c:f>
              <c:numCache>
                <c:formatCode>General</c:formatCode>
                <c:ptCount val="4"/>
                <c:pt idx="0">
                  <c:v>118</c:v>
                </c:pt>
                <c:pt idx="1">
                  <c:v>111</c:v>
                </c:pt>
                <c:pt idx="2">
                  <c:v>126</c:v>
                </c:pt>
                <c:pt idx="3">
                  <c:v>122</c:v>
                </c:pt>
              </c:numCache>
            </c:numRef>
          </c:val>
          <c:extLst>
            <c:ext xmlns:c16="http://schemas.microsoft.com/office/drawing/2014/chart" uri="{C3380CC4-5D6E-409C-BE32-E72D297353CC}">
              <c16:uniqueId val="{00000006-A362-4B09-9785-A6738EBD134C}"/>
            </c:ext>
          </c:extLst>
        </c:ser>
        <c:dLbls>
          <c:dLblPos val="outEnd"/>
          <c:showLegendKey val="0"/>
          <c:showVal val="1"/>
          <c:showCatName val="0"/>
          <c:showSerName val="0"/>
          <c:showPercent val="0"/>
          <c:showBubbleSize val="0"/>
        </c:dLbls>
        <c:gapWidth val="182"/>
        <c:axId val="581542911"/>
        <c:axId val="677800815"/>
      </c:barChart>
      <c:catAx>
        <c:axId val="58154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77800815"/>
        <c:crosses val="autoZero"/>
        <c:auto val="1"/>
        <c:lblAlgn val="ctr"/>
        <c:lblOffset val="100"/>
        <c:noMultiLvlLbl val="0"/>
      </c:catAx>
      <c:valAx>
        <c:axId val="677800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81542911"/>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bg1">
          <a:lumMod val="6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[practice.xlsx]Chart Analysis!PivotTable2</c:name>
    <c:fmtId val="2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Average Salary by</a:t>
            </a:r>
            <a:r>
              <a:rPr lang="en-US" sz="1600" b="1" baseline="0">
                <a:solidFill>
                  <a:sysClr val="windowText" lastClr="000000"/>
                </a:solidFill>
              </a:rPr>
              <a:t> Deptartment</a:t>
            </a:r>
            <a:endParaRPr lang="en-US" sz="1600" b="1">
              <a:solidFill>
                <a:sysClr val="windowText" lastClr="000000"/>
              </a:solidFill>
            </a:endParaRPr>
          </a:p>
        </c:rich>
      </c:tx>
      <c:layout>
        <c:manualLayout>
          <c:xMode val="edge"/>
          <c:yMode val="edge"/>
          <c:x val="0.1092793088818136"/>
          <c:y val="4.222250537787537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s>
    <c:plotArea>
      <c:layout>
        <c:manualLayout>
          <c:layoutTarget val="inner"/>
          <c:xMode val="edge"/>
          <c:yMode val="edge"/>
          <c:x val="0.15944066259846429"/>
          <c:y val="0.23708972619681151"/>
          <c:w val="0.77765302404504411"/>
          <c:h val="0.65477260748408561"/>
        </c:manualLayout>
      </c:layout>
      <c:barChart>
        <c:barDir val="col"/>
        <c:grouping val="clustered"/>
        <c:varyColors val="0"/>
        <c:ser>
          <c:idx val="0"/>
          <c:order val="0"/>
          <c:tx>
            <c:strRef>
              <c:f>'Chart Analysis'!$B$20</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7CC-4927-8208-09713419503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17CC-4927-8208-097134195038}"/>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17CC-4927-8208-097134195038}"/>
              </c:ext>
            </c:extLst>
          </c:dPt>
          <c:cat>
            <c:strRef>
              <c:f>'Chart Analysis'!$A$21:$A$25</c:f>
              <c:strCache>
                <c:ptCount val="4"/>
                <c:pt idx="0">
                  <c:v>Finance</c:v>
                </c:pt>
                <c:pt idx="1">
                  <c:v>HR</c:v>
                </c:pt>
                <c:pt idx="2">
                  <c:v>IT</c:v>
                </c:pt>
                <c:pt idx="3">
                  <c:v>Operations</c:v>
                </c:pt>
              </c:strCache>
            </c:strRef>
          </c:cat>
          <c:val>
            <c:numRef>
              <c:f>'Chart Analysis'!$B$21:$B$25</c:f>
              <c:numCache>
                <c:formatCode>General</c:formatCode>
                <c:ptCount val="4"/>
                <c:pt idx="0">
                  <c:v>458098.59154929576</c:v>
                </c:pt>
                <c:pt idx="1">
                  <c:v>416168.83116883115</c:v>
                </c:pt>
                <c:pt idx="2">
                  <c:v>596557.69230769225</c:v>
                </c:pt>
                <c:pt idx="3">
                  <c:v>364782.60869565216</c:v>
                </c:pt>
              </c:numCache>
            </c:numRef>
          </c:val>
          <c:extLst>
            <c:ext xmlns:c16="http://schemas.microsoft.com/office/drawing/2014/chart" uri="{C3380CC4-5D6E-409C-BE32-E72D297353CC}">
              <c16:uniqueId val="{00000006-17CC-4927-8208-097134195038}"/>
            </c:ext>
          </c:extLst>
        </c:ser>
        <c:dLbls>
          <c:showLegendKey val="0"/>
          <c:showVal val="0"/>
          <c:showCatName val="0"/>
          <c:showSerName val="0"/>
          <c:showPercent val="0"/>
          <c:showBubbleSize val="0"/>
        </c:dLbls>
        <c:gapWidth val="219"/>
        <c:overlap val="-27"/>
        <c:axId val="1923069551"/>
        <c:axId val="1916921487"/>
      </c:barChart>
      <c:catAx>
        <c:axId val="192306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921487"/>
        <c:crosses val="autoZero"/>
        <c:auto val="1"/>
        <c:lblAlgn val="ctr"/>
        <c:lblOffset val="100"/>
        <c:noMultiLvlLbl val="0"/>
      </c:catAx>
      <c:valAx>
        <c:axId val="191692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06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[practice.xlsx]Chart Analysis!PivotTable5</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solidFill>
                  <a:sysClr val="windowText" lastClr="000000"/>
                </a:solidFill>
              </a:rPr>
              <a:t>Applicants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pivotFmt>
      <c:pivotFmt>
        <c:idx val="8"/>
        <c:spPr>
          <a:solidFill>
            <a:schemeClr val="accent1"/>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pivotFmt>
      <c:pivotFmt>
        <c:idx val="9"/>
        <c:spPr>
          <a:solidFill>
            <a:schemeClr val="accent1"/>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pivotFmt>
      <c:pivotFmt>
        <c:idx val="10"/>
        <c:spPr>
          <a:solidFill>
            <a:schemeClr val="accent1"/>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pivotFmt>
      <c:pivotFmt>
        <c:idx val="11"/>
        <c:spPr>
          <a:solidFill>
            <a:schemeClr val="accent1"/>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pivotFmt>
      <c:pivotFmt>
        <c:idx val="13"/>
        <c:spPr>
          <a:solidFill>
            <a:schemeClr val="accent1"/>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pivotFmt>
      <c:pivotFmt>
        <c:idx val="14"/>
        <c:spPr>
          <a:solidFill>
            <a:schemeClr val="accent1"/>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pivotFmt>
      <c:pivotFmt>
        <c:idx val="15"/>
        <c:spPr>
          <a:solidFill>
            <a:schemeClr val="accent1"/>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pivotFmt>
      <c:pivotFmt>
        <c:idx val="16"/>
        <c:spPr>
          <a:solidFill>
            <a:schemeClr val="accent1"/>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hade val="58000"/>
            </a:schemeClr>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pivotFmt>
      <c:pivotFmt>
        <c:idx val="18"/>
        <c:spPr>
          <a:solidFill>
            <a:schemeClr val="accent1">
              <a:shade val="86000"/>
            </a:schemeClr>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pivotFmt>
      <c:pivotFmt>
        <c:idx val="19"/>
        <c:spPr>
          <a:solidFill>
            <a:schemeClr val="accent1">
              <a:tint val="86000"/>
            </a:schemeClr>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pivotFmt>
      <c:pivotFmt>
        <c:idx val="20"/>
        <c:spPr>
          <a:solidFill>
            <a:schemeClr val="accent1">
              <a:tint val="58000"/>
            </a:schemeClr>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pivotFmt>
    </c:pivotFmts>
    <c:plotArea>
      <c:layout>
        <c:manualLayout>
          <c:layoutTarget val="inner"/>
          <c:xMode val="edge"/>
          <c:yMode val="edge"/>
          <c:x val="0.16375860133080955"/>
          <c:y val="0.18921562486260995"/>
          <c:w val="0.58470531159771832"/>
          <c:h val="0.76890388830436485"/>
        </c:manualLayout>
      </c:layout>
      <c:doughnutChart>
        <c:varyColors val="1"/>
        <c:ser>
          <c:idx val="0"/>
          <c:order val="0"/>
          <c:tx>
            <c:strRef>
              <c:f>'Chart Analysis'!$B$60</c:f>
              <c:strCache>
                <c:ptCount val="1"/>
                <c:pt idx="0">
                  <c:v>Total</c:v>
                </c:pt>
              </c:strCache>
            </c:strRef>
          </c:tx>
          <c:spPr>
            <a:effectLst>
              <a:outerShdw blurRad="50800" dist="50800" dir="5400000" sx="1000" sy="1000" algn="ctr" rotWithShape="0">
                <a:srgbClr val="000000">
                  <a:alpha val="43137"/>
                </a:srgbClr>
              </a:outerShdw>
              <a:softEdge rad="0"/>
            </a:effectLst>
            <a:scene3d>
              <a:camera prst="orthographicFront"/>
              <a:lightRig rig="threePt" dir="t"/>
            </a:scene3d>
          </c:spPr>
          <c:dPt>
            <c:idx val="0"/>
            <c:bubble3D val="0"/>
            <c:spPr>
              <a:solidFill>
                <a:schemeClr val="accent1">
                  <a:shade val="58000"/>
                </a:schemeClr>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extLst>
              <c:ext xmlns:c16="http://schemas.microsoft.com/office/drawing/2014/chart" uri="{C3380CC4-5D6E-409C-BE32-E72D297353CC}">
                <c16:uniqueId val="{00000001-7DC2-436E-BE50-E523E3D1AE2D}"/>
              </c:ext>
            </c:extLst>
          </c:dPt>
          <c:dPt>
            <c:idx val="1"/>
            <c:bubble3D val="0"/>
            <c:spPr>
              <a:solidFill>
                <a:schemeClr val="accent1">
                  <a:shade val="86000"/>
                </a:schemeClr>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extLst>
              <c:ext xmlns:c16="http://schemas.microsoft.com/office/drawing/2014/chart" uri="{C3380CC4-5D6E-409C-BE32-E72D297353CC}">
                <c16:uniqueId val="{00000003-7DC2-436E-BE50-E523E3D1AE2D}"/>
              </c:ext>
            </c:extLst>
          </c:dPt>
          <c:dPt>
            <c:idx val="2"/>
            <c:bubble3D val="0"/>
            <c:spPr>
              <a:solidFill>
                <a:schemeClr val="accent1">
                  <a:tint val="86000"/>
                </a:schemeClr>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extLst>
              <c:ext xmlns:c16="http://schemas.microsoft.com/office/drawing/2014/chart" uri="{C3380CC4-5D6E-409C-BE32-E72D297353CC}">
                <c16:uniqueId val="{00000005-7DC2-436E-BE50-E523E3D1AE2D}"/>
              </c:ext>
            </c:extLst>
          </c:dPt>
          <c:dPt>
            <c:idx val="3"/>
            <c:bubble3D val="0"/>
            <c:spPr>
              <a:solidFill>
                <a:schemeClr val="accent1">
                  <a:tint val="58000"/>
                </a:schemeClr>
              </a:solidFill>
              <a:ln>
                <a:noFill/>
              </a:ln>
              <a:effectLst>
                <a:outerShdw blurRad="50800" dist="50800" dir="5400000" sx="1000" sy="1000" algn="ctr" rotWithShape="0">
                  <a:srgbClr val="000000">
                    <a:alpha val="43137"/>
                  </a:srgbClr>
                </a:outerShdw>
                <a:softEdge rad="0"/>
              </a:effectLst>
              <a:scene3d>
                <a:camera prst="orthographicFront"/>
                <a:lightRig rig="threePt" dir="t"/>
              </a:scene3d>
            </c:spPr>
            <c:extLst>
              <c:ext xmlns:c16="http://schemas.microsoft.com/office/drawing/2014/chart" uri="{C3380CC4-5D6E-409C-BE32-E72D297353CC}">
                <c16:uniqueId val="{00000007-7DC2-436E-BE50-E523E3D1AE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 Analysis'!$A$61:$A$65</c:f>
              <c:strCache>
                <c:ptCount val="4"/>
                <c:pt idx="0">
                  <c:v>Applied</c:v>
                </c:pt>
                <c:pt idx="1">
                  <c:v>Interview</c:v>
                </c:pt>
                <c:pt idx="2">
                  <c:v>Rejected</c:v>
                </c:pt>
                <c:pt idx="3">
                  <c:v>Selected</c:v>
                </c:pt>
              </c:strCache>
            </c:strRef>
          </c:cat>
          <c:val>
            <c:numRef>
              <c:f>'Chart Analysis'!$B$61:$B$65</c:f>
              <c:numCache>
                <c:formatCode>General</c:formatCode>
                <c:ptCount val="4"/>
                <c:pt idx="0">
                  <c:v>84</c:v>
                </c:pt>
                <c:pt idx="1">
                  <c:v>164</c:v>
                </c:pt>
                <c:pt idx="2">
                  <c:v>118</c:v>
                </c:pt>
                <c:pt idx="3">
                  <c:v>111</c:v>
                </c:pt>
              </c:numCache>
            </c:numRef>
          </c:val>
          <c:extLst>
            <c:ext xmlns:c16="http://schemas.microsoft.com/office/drawing/2014/chart" uri="{C3380CC4-5D6E-409C-BE32-E72D297353CC}">
              <c16:uniqueId val="{00000008-7DC2-436E-BE50-E523E3D1AE2D}"/>
            </c:ext>
          </c:extLst>
        </c:ser>
        <c:dLbls>
          <c:showLegendKey val="0"/>
          <c:showVal val="0"/>
          <c:showCatName val="0"/>
          <c:showSerName val="0"/>
          <c:showPercent val="1"/>
          <c:showBubbleSize val="0"/>
          <c:showLeaderLines val="1"/>
        </c:dLbls>
        <c:firstSliceAng val="0"/>
        <c:holeSize val="45"/>
      </c:doughnutChart>
      <c:spPr>
        <a:noFill/>
        <a:ln>
          <a:noFill/>
        </a:ln>
        <a:effectLst>
          <a:outerShdw blurRad="50800" dist="50800" dir="5400000" algn="ctr" rotWithShape="0">
            <a:schemeClr val="bg1"/>
          </a:outerShdw>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[practice.xlsx]Chart Analysis!PivotTable1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Applicants</a:t>
            </a:r>
            <a:r>
              <a:rPr lang="en-US" sz="1600" b="1" baseline="0">
                <a:solidFill>
                  <a:sysClr val="windowText" lastClr="000000"/>
                </a:solidFill>
              </a:rPr>
              <a:t> By City</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s>
    <c:plotArea>
      <c:layout>
        <c:manualLayout>
          <c:layoutTarget val="inner"/>
          <c:xMode val="edge"/>
          <c:yMode val="edge"/>
          <c:x val="5.4143966025059123E-2"/>
          <c:y val="0.16116232535953343"/>
          <c:w val="0.90018692420568447"/>
          <c:h val="0.5975211025969005"/>
        </c:manualLayout>
      </c:layout>
      <c:barChart>
        <c:barDir val="col"/>
        <c:grouping val="clustered"/>
        <c:varyColors val="0"/>
        <c:ser>
          <c:idx val="0"/>
          <c:order val="0"/>
          <c:tx>
            <c:strRef>
              <c:f>'Chart Analysis'!$B$3</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1-9E9D-4FCD-BA9D-CF9BB6C7E05D}"/>
              </c:ext>
            </c:extLst>
          </c:dPt>
          <c:dPt>
            <c:idx val="3"/>
            <c:invertIfNegative val="0"/>
            <c:bubble3D val="0"/>
            <c:extLst>
              <c:ext xmlns:c16="http://schemas.microsoft.com/office/drawing/2014/chart" uri="{C3380CC4-5D6E-409C-BE32-E72D297353CC}">
                <c16:uniqueId val="{00000003-9E9D-4FCD-BA9D-CF9BB6C7E05D}"/>
              </c:ext>
            </c:extLst>
          </c:dPt>
          <c:dPt>
            <c:idx val="4"/>
            <c:invertIfNegative val="0"/>
            <c:bubble3D val="0"/>
            <c:extLst>
              <c:ext xmlns:c16="http://schemas.microsoft.com/office/drawing/2014/chart" uri="{C3380CC4-5D6E-409C-BE32-E72D297353CC}">
                <c16:uniqueId val="{00000005-9E9D-4FCD-BA9D-CF9BB6C7E05D}"/>
              </c:ext>
            </c:extLst>
          </c:dPt>
          <c:dPt>
            <c:idx val="5"/>
            <c:invertIfNegative val="0"/>
            <c:bubble3D val="0"/>
            <c:extLst>
              <c:ext xmlns:c16="http://schemas.microsoft.com/office/drawing/2014/chart" uri="{C3380CC4-5D6E-409C-BE32-E72D297353CC}">
                <c16:uniqueId val="{00000007-9E9D-4FCD-BA9D-CF9BB6C7E05D}"/>
              </c:ext>
            </c:extLst>
          </c:dPt>
          <c:dPt>
            <c:idx val="6"/>
            <c:invertIfNegative val="0"/>
            <c:bubble3D val="0"/>
            <c:extLst>
              <c:ext xmlns:c16="http://schemas.microsoft.com/office/drawing/2014/chart" uri="{C3380CC4-5D6E-409C-BE32-E72D297353CC}">
                <c16:uniqueId val="{00000009-9E9D-4FCD-BA9D-CF9BB6C7E05D}"/>
              </c:ext>
            </c:extLst>
          </c:dPt>
          <c:dPt>
            <c:idx val="7"/>
            <c:invertIfNegative val="0"/>
            <c:bubble3D val="0"/>
            <c:extLst>
              <c:ext xmlns:c16="http://schemas.microsoft.com/office/drawing/2014/chart" uri="{C3380CC4-5D6E-409C-BE32-E72D297353CC}">
                <c16:uniqueId val="{0000000B-9E9D-4FCD-BA9D-CF9BB6C7E0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Analysis'!$A$4:$A$12</c:f>
              <c:strCache>
                <c:ptCount val="8"/>
                <c:pt idx="0">
                  <c:v>Bangalore</c:v>
                </c:pt>
                <c:pt idx="1">
                  <c:v>Chennai</c:v>
                </c:pt>
                <c:pt idx="2">
                  <c:v>Coimbatore</c:v>
                </c:pt>
                <c:pt idx="3">
                  <c:v>Delhi</c:v>
                </c:pt>
                <c:pt idx="4">
                  <c:v>Hyderabad</c:v>
                </c:pt>
                <c:pt idx="5">
                  <c:v>Kochi</c:v>
                </c:pt>
                <c:pt idx="6">
                  <c:v>Mumbai</c:v>
                </c:pt>
                <c:pt idx="7">
                  <c:v>Pune</c:v>
                </c:pt>
              </c:strCache>
            </c:strRef>
          </c:cat>
          <c:val>
            <c:numRef>
              <c:f>'Chart Analysis'!$B$4:$B$12</c:f>
              <c:numCache>
                <c:formatCode>General</c:formatCode>
                <c:ptCount val="8"/>
                <c:pt idx="0">
                  <c:v>69</c:v>
                </c:pt>
                <c:pt idx="1">
                  <c:v>64</c:v>
                </c:pt>
                <c:pt idx="2">
                  <c:v>51</c:v>
                </c:pt>
                <c:pt idx="3">
                  <c:v>59</c:v>
                </c:pt>
                <c:pt idx="4">
                  <c:v>48</c:v>
                </c:pt>
                <c:pt idx="5">
                  <c:v>61</c:v>
                </c:pt>
                <c:pt idx="6">
                  <c:v>74</c:v>
                </c:pt>
                <c:pt idx="7">
                  <c:v>51</c:v>
                </c:pt>
              </c:numCache>
            </c:numRef>
          </c:val>
          <c:extLst>
            <c:ext xmlns:c16="http://schemas.microsoft.com/office/drawing/2014/chart" uri="{C3380CC4-5D6E-409C-BE32-E72D297353CC}">
              <c16:uniqueId val="{0000000C-9E9D-4FCD-BA9D-CF9BB6C7E05D}"/>
            </c:ext>
          </c:extLst>
        </c:ser>
        <c:dLbls>
          <c:dLblPos val="outEnd"/>
          <c:showLegendKey val="0"/>
          <c:showVal val="1"/>
          <c:showCatName val="0"/>
          <c:showSerName val="0"/>
          <c:showPercent val="0"/>
          <c:showBubbleSize val="0"/>
        </c:dLbls>
        <c:gapWidth val="219"/>
        <c:overlap val="-27"/>
        <c:axId val="1923060735"/>
        <c:axId val="1916904687"/>
      </c:barChart>
      <c:catAx>
        <c:axId val="192306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904687"/>
        <c:crosses val="autoZero"/>
        <c:auto val="1"/>
        <c:lblAlgn val="ctr"/>
        <c:lblOffset val="100"/>
        <c:noMultiLvlLbl val="0"/>
      </c:catAx>
      <c:valAx>
        <c:axId val="19169046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2306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[practice.xlsx]Chart Analysis!PivotTable6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Monthly Joinings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9"/>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4"/>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5"/>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6"/>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7"/>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'Chart Analysis'!$B$77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9DEE-4A06-AD54-C5AB21EC2FD5}"/>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9DEE-4A06-AD54-C5AB21EC2FD5}"/>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9DEE-4A06-AD54-C5AB21EC2FD5}"/>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9DEE-4A06-AD54-C5AB21EC2FD5}"/>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9DEE-4A06-AD54-C5AB21EC2FD5}"/>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9DEE-4A06-AD54-C5AB21EC2FD5}"/>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D-9DEE-4A06-AD54-C5AB21EC2F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Analysis'!$A$78:$A$87</c:f>
              <c:strCache>
                <c:ptCount val="9"/>
                <c:pt idx="0">
                  <c:v>1</c:v>
                </c:pt>
                <c:pt idx="1">
                  <c:v>2</c:v>
                </c:pt>
                <c:pt idx="2">
                  <c:v>3</c:v>
                </c:pt>
                <c:pt idx="3">
                  <c:v>4</c:v>
                </c:pt>
                <c:pt idx="4">
                  <c:v>5</c:v>
                </c:pt>
                <c:pt idx="5">
                  <c:v>6</c:v>
                </c:pt>
                <c:pt idx="6">
                  <c:v>7</c:v>
                </c:pt>
                <c:pt idx="7">
                  <c:v>8</c:v>
                </c:pt>
                <c:pt idx="8">
                  <c:v>9</c:v>
                </c:pt>
              </c:strCache>
            </c:strRef>
          </c:cat>
          <c:val>
            <c:numRef>
              <c:f>'Chart Analysis'!$B$78:$B$87</c:f>
              <c:numCache>
                <c:formatCode>General</c:formatCode>
                <c:ptCount val="9"/>
                <c:pt idx="0">
                  <c:v>6</c:v>
                </c:pt>
                <c:pt idx="1">
                  <c:v>5</c:v>
                </c:pt>
                <c:pt idx="2">
                  <c:v>5</c:v>
                </c:pt>
                <c:pt idx="3">
                  <c:v>5</c:v>
                </c:pt>
                <c:pt idx="4">
                  <c:v>87</c:v>
                </c:pt>
                <c:pt idx="5">
                  <c:v>99</c:v>
                </c:pt>
                <c:pt idx="6">
                  <c:v>99</c:v>
                </c:pt>
                <c:pt idx="7">
                  <c:v>87</c:v>
                </c:pt>
                <c:pt idx="8">
                  <c:v>84</c:v>
                </c:pt>
              </c:numCache>
            </c:numRef>
          </c:val>
          <c:smooth val="0"/>
          <c:extLst>
            <c:ext xmlns:c16="http://schemas.microsoft.com/office/drawing/2014/chart" uri="{C3380CC4-5D6E-409C-BE32-E72D297353CC}">
              <c16:uniqueId val="{0000000E-9DEE-4A06-AD54-C5AB21EC2FD5}"/>
            </c:ext>
          </c:extLst>
        </c:ser>
        <c:dLbls>
          <c:dLblPos val="t"/>
          <c:showLegendKey val="0"/>
          <c:showVal val="1"/>
          <c:showCatName val="0"/>
          <c:showSerName val="0"/>
          <c:showPercent val="0"/>
          <c:showBubbleSize val="0"/>
        </c:dLbls>
        <c:marker val="1"/>
        <c:smooth val="0"/>
        <c:axId val="2068965808"/>
        <c:axId val="1896657744"/>
      </c:lineChart>
      <c:catAx>
        <c:axId val="206896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657744"/>
        <c:crosses val="autoZero"/>
        <c:auto val="1"/>
        <c:lblAlgn val="ctr"/>
        <c:lblOffset val="100"/>
        <c:noMultiLvlLbl val="0"/>
      </c:catAx>
      <c:valAx>
        <c:axId val="189665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96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[practice.xlsx]Chart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Analysis'!$B$20</c:f>
              <c:strCache>
                <c:ptCount val="1"/>
                <c:pt idx="0">
                  <c:v>Total</c:v>
                </c:pt>
              </c:strCache>
            </c:strRef>
          </c:tx>
          <c:spPr>
            <a:solidFill>
              <a:schemeClr val="accent1"/>
            </a:solidFill>
            <a:ln>
              <a:noFill/>
            </a:ln>
            <a:effectLst/>
          </c:spPr>
          <c:invertIfNegative val="0"/>
          <c:cat>
            <c:strRef>
              <c:f>'Chart Analysis'!$A$21:$A$25</c:f>
              <c:strCache>
                <c:ptCount val="4"/>
                <c:pt idx="0">
                  <c:v>Finance</c:v>
                </c:pt>
                <c:pt idx="1">
                  <c:v>HR</c:v>
                </c:pt>
                <c:pt idx="2">
                  <c:v>IT</c:v>
                </c:pt>
                <c:pt idx="3">
                  <c:v>Operations</c:v>
                </c:pt>
              </c:strCache>
            </c:strRef>
          </c:cat>
          <c:val>
            <c:numRef>
              <c:f>'Chart Analysis'!$B$21:$B$25</c:f>
              <c:numCache>
                <c:formatCode>General</c:formatCode>
                <c:ptCount val="4"/>
                <c:pt idx="0">
                  <c:v>458098.59154929576</c:v>
                </c:pt>
                <c:pt idx="1">
                  <c:v>416168.83116883115</c:v>
                </c:pt>
                <c:pt idx="2">
                  <c:v>596557.69230769225</c:v>
                </c:pt>
                <c:pt idx="3">
                  <c:v>364782.60869565216</c:v>
                </c:pt>
              </c:numCache>
            </c:numRef>
          </c:val>
          <c:extLst>
            <c:ext xmlns:c16="http://schemas.microsoft.com/office/drawing/2014/chart" uri="{C3380CC4-5D6E-409C-BE32-E72D297353CC}">
              <c16:uniqueId val="{00000000-A026-481C-AC93-6AB509DEAB78}"/>
            </c:ext>
          </c:extLst>
        </c:ser>
        <c:dLbls>
          <c:showLegendKey val="0"/>
          <c:showVal val="0"/>
          <c:showCatName val="0"/>
          <c:showSerName val="0"/>
          <c:showPercent val="0"/>
          <c:showBubbleSize val="0"/>
        </c:dLbls>
        <c:gapWidth val="219"/>
        <c:overlap val="-27"/>
        <c:axId val="1923069551"/>
        <c:axId val="1916921487"/>
      </c:barChart>
      <c:catAx>
        <c:axId val="192306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921487"/>
        <c:crosses val="autoZero"/>
        <c:auto val="1"/>
        <c:lblAlgn val="ctr"/>
        <c:lblOffset val="100"/>
        <c:noMultiLvlLbl val="0"/>
      </c:catAx>
      <c:valAx>
        <c:axId val="191692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06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[practice.xlsx]Chart 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Applicants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Analysis'!$A$4:$A$12</c:f>
              <c:strCache>
                <c:ptCount val="8"/>
                <c:pt idx="0">
                  <c:v>Bangalore</c:v>
                </c:pt>
                <c:pt idx="1">
                  <c:v>Chennai</c:v>
                </c:pt>
                <c:pt idx="2">
                  <c:v>Coimbatore</c:v>
                </c:pt>
                <c:pt idx="3">
                  <c:v>Delhi</c:v>
                </c:pt>
                <c:pt idx="4">
                  <c:v>Hyderabad</c:v>
                </c:pt>
                <c:pt idx="5">
                  <c:v>Kochi</c:v>
                </c:pt>
                <c:pt idx="6">
                  <c:v>Mumbai</c:v>
                </c:pt>
                <c:pt idx="7">
                  <c:v>Pune</c:v>
                </c:pt>
              </c:strCache>
            </c:strRef>
          </c:cat>
          <c:val>
            <c:numRef>
              <c:f>'Chart Analysis'!$B$4:$B$12</c:f>
              <c:numCache>
                <c:formatCode>General</c:formatCode>
                <c:ptCount val="8"/>
                <c:pt idx="0">
                  <c:v>69</c:v>
                </c:pt>
                <c:pt idx="1">
                  <c:v>64</c:v>
                </c:pt>
                <c:pt idx="2">
                  <c:v>51</c:v>
                </c:pt>
                <c:pt idx="3">
                  <c:v>59</c:v>
                </c:pt>
                <c:pt idx="4">
                  <c:v>48</c:v>
                </c:pt>
                <c:pt idx="5">
                  <c:v>61</c:v>
                </c:pt>
                <c:pt idx="6">
                  <c:v>74</c:v>
                </c:pt>
                <c:pt idx="7">
                  <c:v>51</c:v>
                </c:pt>
              </c:numCache>
            </c:numRef>
          </c:val>
          <c:extLst>
            <c:ext xmlns:c16="http://schemas.microsoft.com/office/drawing/2014/chart" uri="{C3380CC4-5D6E-409C-BE32-E72D297353CC}">
              <c16:uniqueId val="{00000000-C7C1-4BEA-BF47-1EDD7A58DA15}"/>
            </c:ext>
          </c:extLst>
        </c:ser>
        <c:dLbls>
          <c:dLblPos val="outEnd"/>
          <c:showLegendKey val="0"/>
          <c:showVal val="1"/>
          <c:showCatName val="0"/>
          <c:showSerName val="0"/>
          <c:showPercent val="0"/>
          <c:showBubbleSize val="0"/>
        </c:dLbls>
        <c:gapWidth val="219"/>
        <c:overlap val="-27"/>
        <c:axId val="1923060735"/>
        <c:axId val="1916904687"/>
      </c:barChart>
      <c:catAx>
        <c:axId val="192306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904687"/>
        <c:crosses val="autoZero"/>
        <c:auto val="1"/>
        <c:lblAlgn val="ctr"/>
        <c:lblOffset val="100"/>
        <c:noMultiLvlLbl val="0"/>
      </c:catAx>
      <c:valAx>
        <c:axId val="1916904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06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[practice.xlsx]Chart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Source</a:t>
            </a:r>
            <a:r>
              <a:rPr lang="en-US" baseline="0"/>
              <a:t> of Hire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636487480587415"/>
          <c:y val="0.18715496222870617"/>
          <c:w val="0.58982889682042339"/>
          <c:h val="0.74267802355768198"/>
        </c:manualLayout>
      </c:layout>
      <c:barChart>
        <c:barDir val="bar"/>
        <c:grouping val="clustered"/>
        <c:varyColors val="0"/>
        <c:ser>
          <c:idx val="0"/>
          <c:order val="0"/>
          <c:tx>
            <c:strRef>
              <c:f>'Chart Analysis'!$B$51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Analysis'!$A$52:$A$56</c:f>
              <c:strCache>
                <c:ptCount val="4"/>
                <c:pt idx="0">
                  <c:v>Employee Referral</c:v>
                </c:pt>
                <c:pt idx="1">
                  <c:v>Indeed</c:v>
                </c:pt>
                <c:pt idx="2">
                  <c:v>LinkedIn</c:v>
                </c:pt>
                <c:pt idx="3">
                  <c:v>Naukri</c:v>
                </c:pt>
              </c:strCache>
            </c:strRef>
          </c:cat>
          <c:val>
            <c:numRef>
              <c:f>'Chart Analysis'!$B$52:$B$56</c:f>
              <c:numCache>
                <c:formatCode>General</c:formatCode>
                <c:ptCount val="4"/>
                <c:pt idx="0">
                  <c:v>118</c:v>
                </c:pt>
                <c:pt idx="1">
                  <c:v>111</c:v>
                </c:pt>
                <c:pt idx="2">
                  <c:v>126</c:v>
                </c:pt>
                <c:pt idx="3">
                  <c:v>122</c:v>
                </c:pt>
              </c:numCache>
            </c:numRef>
          </c:val>
          <c:extLst>
            <c:ext xmlns:c16="http://schemas.microsoft.com/office/drawing/2014/chart" uri="{C3380CC4-5D6E-409C-BE32-E72D297353CC}">
              <c16:uniqueId val="{00000000-AF8E-45CC-8BB1-B4F7716D186F}"/>
            </c:ext>
          </c:extLst>
        </c:ser>
        <c:dLbls>
          <c:dLblPos val="outEnd"/>
          <c:showLegendKey val="0"/>
          <c:showVal val="1"/>
          <c:showCatName val="0"/>
          <c:showSerName val="0"/>
          <c:showPercent val="0"/>
          <c:showBubbleSize val="0"/>
        </c:dLbls>
        <c:gapWidth val="182"/>
        <c:axId val="581542911"/>
        <c:axId val="677800815"/>
      </c:barChart>
      <c:catAx>
        <c:axId val="5815429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800815"/>
        <c:crosses val="autoZero"/>
        <c:auto val="1"/>
        <c:lblAlgn val="ctr"/>
        <c:lblOffset val="100"/>
        <c:noMultiLvlLbl val="0"/>
      </c:catAx>
      <c:valAx>
        <c:axId val="677800815"/>
        <c:scaling>
          <c:orientation val="minMax"/>
        </c:scaling>
        <c:delete val="1"/>
        <c:axPos val="b"/>
        <c:numFmt formatCode="General" sourceLinked="1"/>
        <c:majorTickMark val="out"/>
        <c:minorTickMark val="none"/>
        <c:tickLblPos val="nextTo"/>
        <c:crossAx val="58154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[practice.xlsx]Chart 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'Chart Analysis'!$B$60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FD-48D7-BA5D-454E04893F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FD-48D7-BA5D-454E04893F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FD-48D7-BA5D-454E04893F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FD-48D7-BA5D-454E04893F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Analysis'!$A$61:$A$65</c:f>
              <c:strCache>
                <c:ptCount val="4"/>
                <c:pt idx="0">
                  <c:v>Applied</c:v>
                </c:pt>
                <c:pt idx="1">
                  <c:v>Interview</c:v>
                </c:pt>
                <c:pt idx="2">
                  <c:v>Rejected</c:v>
                </c:pt>
                <c:pt idx="3">
                  <c:v>Selected</c:v>
                </c:pt>
              </c:strCache>
            </c:strRef>
          </c:cat>
          <c:val>
            <c:numRef>
              <c:f>'Chart Analysis'!$B$61:$B$65</c:f>
              <c:numCache>
                <c:formatCode>General</c:formatCode>
                <c:ptCount val="4"/>
                <c:pt idx="0">
                  <c:v>84</c:v>
                </c:pt>
                <c:pt idx="1">
                  <c:v>164</c:v>
                </c:pt>
                <c:pt idx="2">
                  <c:v>118</c:v>
                </c:pt>
                <c:pt idx="3">
                  <c:v>111</c:v>
                </c:pt>
              </c:numCache>
            </c:numRef>
          </c:val>
          <c:extLst>
            <c:ext xmlns:c16="http://schemas.microsoft.com/office/drawing/2014/chart" uri="{C3380CC4-5D6E-409C-BE32-E72D297353CC}">
              <c16:uniqueId val="{00000000-D2B2-40AA-8236-ECC84D478C6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[practice.xlsx]Chart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Monthly Joinings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Analysis'!$B$77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Analysis'!$A$78:$A$87</c:f>
              <c:strCache>
                <c:ptCount val="9"/>
                <c:pt idx="0">
                  <c:v>1</c:v>
                </c:pt>
                <c:pt idx="1">
                  <c:v>2</c:v>
                </c:pt>
                <c:pt idx="2">
                  <c:v>3</c:v>
                </c:pt>
                <c:pt idx="3">
                  <c:v>4</c:v>
                </c:pt>
                <c:pt idx="4">
                  <c:v>5</c:v>
                </c:pt>
                <c:pt idx="5">
                  <c:v>6</c:v>
                </c:pt>
                <c:pt idx="6">
                  <c:v>7</c:v>
                </c:pt>
                <c:pt idx="7">
                  <c:v>8</c:v>
                </c:pt>
                <c:pt idx="8">
                  <c:v>9</c:v>
                </c:pt>
              </c:strCache>
            </c:strRef>
          </c:cat>
          <c:val>
            <c:numRef>
              <c:f>'Chart Analysis'!$B$78:$B$87</c:f>
              <c:numCache>
                <c:formatCode>General</c:formatCode>
                <c:ptCount val="9"/>
                <c:pt idx="0">
                  <c:v>6</c:v>
                </c:pt>
                <c:pt idx="1">
                  <c:v>5</c:v>
                </c:pt>
                <c:pt idx="2">
                  <c:v>5</c:v>
                </c:pt>
                <c:pt idx="3">
                  <c:v>5</c:v>
                </c:pt>
                <c:pt idx="4">
                  <c:v>87</c:v>
                </c:pt>
                <c:pt idx="5">
                  <c:v>99</c:v>
                </c:pt>
                <c:pt idx="6">
                  <c:v>99</c:v>
                </c:pt>
                <c:pt idx="7">
                  <c:v>87</c:v>
                </c:pt>
                <c:pt idx="8">
                  <c:v>84</c:v>
                </c:pt>
              </c:numCache>
            </c:numRef>
          </c:val>
          <c:smooth val="0"/>
          <c:extLst>
            <c:ext xmlns:c16="http://schemas.microsoft.com/office/drawing/2014/chart" uri="{C3380CC4-5D6E-409C-BE32-E72D297353CC}">
              <c16:uniqueId val="{00000000-5F5E-4916-A681-72F67AF9BFA4}"/>
            </c:ext>
          </c:extLst>
        </c:ser>
        <c:dLbls>
          <c:dLblPos val="t"/>
          <c:showLegendKey val="0"/>
          <c:showVal val="1"/>
          <c:showCatName val="0"/>
          <c:showSerName val="0"/>
          <c:showPercent val="0"/>
          <c:showBubbleSize val="0"/>
        </c:dLbls>
        <c:marker val="1"/>
        <c:smooth val="0"/>
        <c:axId val="2068965808"/>
        <c:axId val="1896657744"/>
      </c:lineChart>
      <c:catAx>
        <c:axId val="206896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657744"/>
        <c:crosses val="autoZero"/>
        <c:auto val="1"/>
        <c:lblAlgn val="ctr"/>
        <c:lblOffset val="100"/>
        <c:noMultiLvlLbl val="0"/>
      </c:catAx>
      <c:valAx>
        <c:axId val="189665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96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[practice.xlsx]Chart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Role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Analysis'!$B$33</c:f>
              <c:strCache>
                <c:ptCount val="1"/>
                <c:pt idx="0">
                  <c:v>Total</c:v>
                </c:pt>
              </c:strCache>
            </c:strRef>
          </c:tx>
          <c:spPr>
            <a:solidFill>
              <a:schemeClr val="accent1"/>
            </a:solidFill>
            <a:ln>
              <a:noFill/>
            </a:ln>
            <a:effectLst/>
          </c:spPr>
          <c:invertIfNegative val="0"/>
          <c:cat>
            <c:strRef>
              <c:f>'Chart Analysis'!$A$34:$A$46</c:f>
              <c:strCache>
                <c:ptCount val="12"/>
                <c:pt idx="0">
                  <c:v>Business Analyst</c:v>
                </c:pt>
                <c:pt idx="1">
                  <c:v>Data Analyst</c:v>
                </c:pt>
                <c:pt idx="2">
                  <c:v>Data Scientist</c:v>
                </c:pt>
                <c:pt idx="3">
                  <c:v>Financial Analyst</c:v>
                </c:pt>
                <c:pt idx="4">
                  <c:v>HR Executive</c:v>
                </c:pt>
                <c:pt idx="5">
                  <c:v>MIS Executive</c:v>
                </c:pt>
                <c:pt idx="6">
                  <c:v>ML Engineer</c:v>
                </c:pt>
                <c:pt idx="7">
                  <c:v>Operations Executive</c:v>
                </c:pt>
                <c:pt idx="8">
                  <c:v>Process Associate</c:v>
                </c:pt>
                <c:pt idx="9">
                  <c:v>Python Developer</c:v>
                </c:pt>
                <c:pt idx="10">
                  <c:v>Recruiter</c:v>
                </c:pt>
                <c:pt idx="11">
                  <c:v>Software Developer</c:v>
                </c:pt>
              </c:strCache>
            </c:strRef>
          </c:cat>
          <c:val>
            <c:numRef>
              <c:f>'Chart Analysis'!$B$34:$B$46</c:f>
              <c:numCache>
                <c:formatCode>General</c:formatCode>
                <c:ptCount val="12"/>
                <c:pt idx="0">
                  <c:v>41</c:v>
                </c:pt>
                <c:pt idx="1">
                  <c:v>58</c:v>
                </c:pt>
                <c:pt idx="2">
                  <c:v>47</c:v>
                </c:pt>
                <c:pt idx="3">
                  <c:v>39</c:v>
                </c:pt>
                <c:pt idx="4">
                  <c:v>34</c:v>
                </c:pt>
                <c:pt idx="5">
                  <c:v>32</c:v>
                </c:pt>
                <c:pt idx="6">
                  <c:v>30</c:v>
                </c:pt>
                <c:pt idx="7">
                  <c:v>42</c:v>
                </c:pt>
                <c:pt idx="8">
                  <c:v>27</c:v>
                </c:pt>
                <c:pt idx="9">
                  <c:v>39</c:v>
                </c:pt>
                <c:pt idx="10">
                  <c:v>43</c:v>
                </c:pt>
                <c:pt idx="11">
                  <c:v>45</c:v>
                </c:pt>
              </c:numCache>
            </c:numRef>
          </c:val>
          <c:extLst>
            <c:ext xmlns:c16="http://schemas.microsoft.com/office/drawing/2014/chart" uri="{C3380CC4-5D6E-409C-BE32-E72D297353CC}">
              <c16:uniqueId val="{00000000-E845-4D38-8E88-3AAF3DFF4744}"/>
            </c:ext>
          </c:extLst>
        </c:ser>
        <c:dLbls>
          <c:showLegendKey val="0"/>
          <c:showVal val="0"/>
          <c:showCatName val="0"/>
          <c:showSerName val="0"/>
          <c:showPercent val="0"/>
          <c:showBubbleSize val="0"/>
        </c:dLbls>
        <c:gapWidth val="219"/>
        <c:axId val="2064596224"/>
        <c:axId val="1896739824"/>
      </c:barChart>
      <c:catAx>
        <c:axId val="206459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739824"/>
        <c:crosses val="autoZero"/>
        <c:auto val="1"/>
        <c:lblAlgn val="ctr"/>
        <c:lblOffset val="100"/>
        <c:noMultiLvlLbl val="0"/>
      </c:catAx>
      <c:valAx>
        <c:axId val="1896739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59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3</xdr:col>
      <xdr:colOff>270808</xdr:colOff>
      <xdr:row>19</xdr:row>
      <xdr:rowOff>79753</xdr:rowOff>
    </xdr:from>
    <xdr:ext cx="3940736" cy="2824437"/>
    <xdr:graphicFrame macro="">
      <xdr:nvGraphicFramePr>
        <xdr:cNvPr id="2" name="Chart 1">
          <a:extLst>
            <a:ext uri="{FF2B5EF4-FFF2-40B4-BE49-F238E27FC236}">
              <a16:creationId xmlns:a16="http://schemas.microsoft.com/office/drawing/2014/main" id="{F17824AE-253A-4828-AEBF-0F616F760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8</xdr:col>
      <xdr:colOff>12776</xdr:colOff>
      <xdr:row>19</xdr:row>
      <xdr:rowOff>134539</xdr:rowOff>
    </xdr:from>
    <xdr:to>
      <xdr:col>11</xdr:col>
      <xdr:colOff>75339</xdr:colOff>
      <xdr:row>31</xdr:row>
      <xdr:rowOff>205441</xdr:rowOff>
    </xdr:to>
    <xdr:graphicFrame macro="">
      <xdr:nvGraphicFramePr>
        <xdr:cNvPr id="3" name="Chart 2">
          <a:extLst>
            <a:ext uri="{FF2B5EF4-FFF2-40B4-BE49-F238E27FC236}">
              <a16:creationId xmlns:a16="http://schemas.microsoft.com/office/drawing/2014/main" id="{8D45788E-6F31-42C4-9FCB-0C052B2DB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78637</xdr:colOff>
      <xdr:row>14</xdr:row>
      <xdr:rowOff>210735</xdr:rowOff>
    </xdr:from>
    <xdr:to>
      <xdr:col>3</xdr:col>
      <xdr:colOff>163307</xdr:colOff>
      <xdr:row>26</xdr:row>
      <xdr:rowOff>10063</xdr:rowOff>
    </xdr:to>
    <xdr:graphicFrame macro="">
      <xdr:nvGraphicFramePr>
        <xdr:cNvPr id="4" name="Chart 3">
          <a:extLst>
            <a:ext uri="{FF2B5EF4-FFF2-40B4-BE49-F238E27FC236}">
              <a16:creationId xmlns:a16="http://schemas.microsoft.com/office/drawing/2014/main" id="{0508158F-1700-4F09-86D8-D07C7EFB0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1240333</xdr:colOff>
      <xdr:row>7</xdr:row>
      <xdr:rowOff>62158</xdr:rowOff>
    </xdr:from>
    <xdr:to>
      <xdr:col>11</xdr:col>
      <xdr:colOff>86102</xdr:colOff>
      <xdr:row>19</xdr:row>
      <xdr:rowOff>79143</xdr:rowOff>
    </xdr:to>
    <xdr:graphicFrame macro="">
      <xdr:nvGraphicFramePr>
        <xdr:cNvPr id="5" name="Chart 4">
          <a:extLst>
            <a:ext uri="{FF2B5EF4-FFF2-40B4-BE49-F238E27FC236}">
              <a16:creationId xmlns:a16="http://schemas.microsoft.com/office/drawing/2014/main" id="{0022F4C6-893B-480C-A7B0-D739D0D1F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261471</xdr:colOff>
      <xdr:row>7</xdr:row>
      <xdr:rowOff>84044</xdr:rowOff>
    </xdr:from>
    <xdr:to>
      <xdr:col>7</xdr:col>
      <xdr:colOff>1148603</xdr:colOff>
      <xdr:row>19</xdr:row>
      <xdr:rowOff>9337</xdr:rowOff>
    </xdr:to>
    <xdr:graphicFrame macro="">
      <xdr:nvGraphicFramePr>
        <xdr:cNvPr id="6" name="Chart 5">
          <a:extLst>
            <a:ext uri="{FF2B5EF4-FFF2-40B4-BE49-F238E27FC236}">
              <a16:creationId xmlns:a16="http://schemas.microsoft.com/office/drawing/2014/main" id="{3D64E168-8B22-42EC-ACB8-CCDFED28D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172359</xdr:colOff>
      <xdr:row>3</xdr:row>
      <xdr:rowOff>187157</xdr:rowOff>
    </xdr:from>
    <xdr:to>
      <xdr:col>15</xdr:col>
      <xdr:colOff>257388</xdr:colOff>
      <xdr:row>8</xdr:row>
      <xdr:rowOff>128840</xdr:rowOff>
    </xdr:to>
    <mc:AlternateContent xmlns:mc="http://schemas.openxmlformats.org/markup-compatibility/2006" xmlns:a14="http://schemas.microsoft.com/office/drawing/2010/main">
      <mc:Choice Requires="a14">
        <xdr:graphicFrame macro="">
          <xdr:nvGraphicFramePr>
            <xdr:cNvPr id="8" name="Source 1">
              <a:extLst>
                <a:ext uri="{FF2B5EF4-FFF2-40B4-BE49-F238E27FC236}">
                  <a16:creationId xmlns:a16="http://schemas.microsoft.com/office/drawing/2014/main" id="{EA82F7E0-8229-452E-ADBF-E006B7FED254}"/>
                </a:ext>
              </a:extLst>
            </xdr:cNvPr>
            <xdr:cNvGraphicFramePr/>
          </xdr:nvGraphicFramePr>
          <xdr:xfrm>
            <a:off x="0" y="0"/>
            <a:ext cx="0" cy="0"/>
          </xdr:xfrm>
          <a:graphic>
            <a:graphicData uri="http://schemas.microsoft.com/office/drawing/2010/slicer">
              <sle:slicer xmlns:sle="http://schemas.microsoft.com/office/drawing/2010/slicer" name="Source 1"/>
            </a:graphicData>
          </a:graphic>
        </xdr:graphicFrame>
      </mc:Choice>
      <mc:Fallback xmlns="">
        <xdr:sp macro="" textlink="">
          <xdr:nvSpPr>
            <xdr:cNvPr id="0" name=""/>
            <xdr:cNvSpPr>
              <a:spLocks noTextEdit="1"/>
            </xdr:cNvSpPr>
          </xdr:nvSpPr>
          <xdr:spPr>
            <a:xfrm>
              <a:off x="11417151" y="1042643"/>
              <a:ext cx="3171834" cy="1238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173921</xdr:colOff>
      <xdr:row>9</xdr:row>
      <xdr:rowOff>15600</xdr:rowOff>
    </xdr:from>
    <xdr:to>
      <xdr:col>15</xdr:col>
      <xdr:colOff>249259</xdr:colOff>
      <xdr:row>12</xdr:row>
      <xdr:rowOff>239277</xdr:rowOff>
    </xdr:to>
    <mc:AlternateContent xmlns:mc="http://schemas.openxmlformats.org/markup-compatibility/2006" xmlns:a14="http://schemas.microsoft.com/office/drawing/2010/main">
      <mc:Choice Requires="a14">
        <xdr:graphicFrame macro="">
          <xdr:nvGraphicFramePr>
            <xdr:cNvPr id="9" name="Department 1">
              <a:extLst>
                <a:ext uri="{FF2B5EF4-FFF2-40B4-BE49-F238E27FC236}">
                  <a16:creationId xmlns:a16="http://schemas.microsoft.com/office/drawing/2014/main" id="{408D36D3-75D3-43DF-AAD5-01EA84703F6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418713" y="2432128"/>
              <a:ext cx="3162143" cy="1158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198563</xdr:colOff>
      <xdr:row>13</xdr:row>
      <xdr:rowOff>44921</xdr:rowOff>
    </xdr:from>
    <xdr:to>
      <xdr:col>15</xdr:col>
      <xdr:colOff>209327</xdr:colOff>
      <xdr:row>21</xdr:row>
      <xdr:rowOff>138043</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4BEBEDB2-0C43-4A54-AEFB-EEA11168F64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443355" y="3722629"/>
              <a:ext cx="3097569" cy="1927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203243</xdr:colOff>
      <xdr:row>22</xdr:row>
      <xdr:rowOff>312</xdr:rowOff>
    </xdr:from>
    <xdr:to>
      <xdr:col>15</xdr:col>
      <xdr:colOff>184058</xdr:colOff>
      <xdr:row>27</xdr:row>
      <xdr:rowOff>27609</xdr:rowOff>
    </xdr:to>
    <mc:AlternateContent xmlns:mc="http://schemas.openxmlformats.org/markup-compatibility/2006" xmlns:a14="http://schemas.microsoft.com/office/drawing/2010/main">
      <mc:Choice Requires="a14">
        <xdr:graphicFrame macro="">
          <xdr:nvGraphicFramePr>
            <xdr:cNvPr id="11" name="Status">
              <a:extLst>
                <a:ext uri="{FF2B5EF4-FFF2-40B4-BE49-F238E27FC236}">
                  <a16:creationId xmlns:a16="http://schemas.microsoft.com/office/drawing/2014/main" id="{1B300997-A75C-444B-BAAC-664897C0FEB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448035" y="5741770"/>
              <a:ext cx="3067620" cy="1173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xdr:colOff>
      <xdr:row>16</xdr:row>
      <xdr:rowOff>152400</xdr:rowOff>
    </xdr:from>
    <xdr:to>
      <xdr:col>8</xdr:col>
      <xdr:colOff>444500</xdr:colOff>
      <xdr:row>30</xdr:row>
      <xdr:rowOff>107950</xdr:rowOff>
    </xdr:to>
    <xdr:graphicFrame macro="">
      <xdr:nvGraphicFramePr>
        <xdr:cNvPr id="3" name="Chart 2">
          <a:extLst>
            <a:ext uri="{FF2B5EF4-FFF2-40B4-BE49-F238E27FC236}">
              <a16:creationId xmlns:a16="http://schemas.microsoft.com/office/drawing/2014/main" id="{363426BB-7245-F8DC-1B4A-C6D471977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234950</xdr:colOff>
      <xdr:row>0</xdr:row>
      <xdr:rowOff>174625</xdr:rowOff>
    </xdr:from>
    <xdr:to>
      <xdr:col>9</xdr:col>
      <xdr:colOff>444500</xdr:colOff>
      <xdr:row>15</xdr:row>
      <xdr:rowOff>155575</xdr:rowOff>
    </xdr:to>
    <xdr:graphicFrame macro="">
      <xdr:nvGraphicFramePr>
        <xdr:cNvPr id="4" name="Chart 3">
          <a:extLst>
            <a:ext uri="{FF2B5EF4-FFF2-40B4-BE49-F238E27FC236}">
              <a16:creationId xmlns:a16="http://schemas.microsoft.com/office/drawing/2014/main" id="{0863DD37-836D-5A5D-B838-B0BC69514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6350</xdr:colOff>
      <xdr:row>43</xdr:row>
      <xdr:rowOff>165100</xdr:rowOff>
    </xdr:from>
    <xdr:to>
      <xdr:col>9</xdr:col>
      <xdr:colOff>19050</xdr:colOff>
      <xdr:row>56</xdr:row>
      <xdr:rowOff>101600</xdr:rowOff>
    </xdr:to>
    <xdr:graphicFrame macro="">
      <xdr:nvGraphicFramePr>
        <xdr:cNvPr id="2" name="Chart 1">
          <a:extLst>
            <a:ext uri="{FF2B5EF4-FFF2-40B4-BE49-F238E27FC236}">
              <a16:creationId xmlns:a16="http://schemas.microsoft.com/office/drawing/2014/main" id="{567B4E2B-69FE-A834-B714-701EA1654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554404</xdr:colOff>
      <xdr:row>57</xdr:row>
      <xdr:rowOff>2442</xdr:rowOff>
    </xdr:from>
    <xdr:to>
      <xdr:col>10</xdr:col>
      <xdr:colOff>249604</xdr:colOff>
      <xdr:row>72</xdr:row>
      <xdr:rowOff>19538</xdr:rowOff>
    </xdr:to>
    <xdr:graphicFrame macro="">
      <xdr:nvGraphicFramePr>
        <xdr:cNvPr id="6" name="Chart 5">
          <a:extLst>
            <a:ext uri="{FF2B5EF4-FFF2-40B4-BE49-F238E27FC236}">
              <a16:creationId xmlns:a16="http://schemas.microsoft.com/office/drawing/2014/main" id="{A5C60F5A-E0CF-5A05-E9DE-D85472BE78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586153</xdr:colOff>
      <xdr:row>72</xdr:row>
      <xdr:rowOff>171937</xdr:rowOff>
    </xdr:from>
    <xdr:to>
      <xdr:col>10</xdr:col>
      <xdr:colOff>312615</xdr:colOff>
      <xdr:row>87</xdr:row>
      <xdr:rowOff>175846</xdr:rowOff>
    </xdr:to>
    <xdr:graphicFrame macro="">
      <xdr:nvGraphicFramePr>
        <xdr:cNvPr id="7" name="Chart 6">
          <a:extLst>
            <a:ext uri="{FF2B5EF4-FFF2-40B4-BE49-F238E27FC236}">
              <a16:creationId xmlns:a16="http://schemas.microsoft.com/office/drawing/2014/main" id="{69139981-A53B-4912-0CEB-BBCAF3236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598522</xdr:colOff>
      <xdr:row>31</xdr:row>
      <xdr:rowOff>16618</xdr:rowOff>
    </xdr:from>
    <xdr:to>
      <xdr:col>10</xdr:col>
      <xdr:colOff>306692</xdr:colOff>
      <xdr:row>46</xdr:row>
      <xdr:rowOff>23914</xdr:rowOff>
    </xdr:to>
    <xdr:graphicFrame macro="">
      <xdr:nvGraphicFramePr>
        <xdr:cNvPr id="14" name="Chart 13">
          <a:extLst>
            <a:ext uri="{FF2B5EF4-FFF2-40B4-BE49-F238E27FC236}">
              <a16:creationId xmlns:a16="http://schemas.microsoft.com/office/drawing/2014/main" id="{A40ED0CD-F5B0-1CBA-A007-A779C8649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A C" refreshedDate="46285.6528869213" createdVersion="8" refreshedVersion="8" minRefreshableVersion="3" recordCount="20" xr:uid="{85694985-FD97-4F70-A69F-185D26311160}">
  <cacheSource type="worksheet">
    <worksheetSource ref="A1:J21" sheet="Raw Data1"/>
  </cacheSource>
  <cacheFields count="10">
    <cacheField name="Applicant ID" numFmtId="0">
      <sharedItems containsSemiMixedTypes="0" containsString="0" containsNumber="1" containsInteger="1" minValue="3101001" maxValue="3101020"/>
    </cacheField>
    <cacheField name="Candidate Name" numFmtId="0">
      <sharedItems/>
    </cacheField>
    <cacheField name="City" numFmtId="0">
      <sharedItems count="4">
        <s v="Bangalore"/>
        <s v="Chennai"/>
        <s v="Hyderabad"/>
        <s v="Pune"/>
      </sharedItems>
    </cacheField>
    <cacheField name="Department" numFmtId="0">
      <sharedItems/>
    </cacheField>
    <cacheField name="Job Role" numFmtId="0">
      <sharedItems count="7">
        <s v="Data Analyst"/>
        <s v="HR Executive"/>
        <s v="Python Developer"/>
        <s v="MIS Executive"/>
        <s v="Operations Executive"/>
        <s v="ML Engineer"/>
        <s v="Recruiter"/>
      </sharedItems>
    </cacheField>
    <cacheField name="Source" numFmtId="0">
      <sharedItems/>
    </cacheField>
    <cacheField name="Status" numFmtId="0">
      <sharedItems/>
    </cacheField>
    <cacheField name="Application Date" numFmtId="15">
      <sharedItems containsSemiMixedTypes="0" containsNonDate="0" containsDate="1" containsString="0" minDate="2026-01-05T00:00:00" maxDate="2026-04-30T00:00:00"/>
    </cacheField>
    <cacheField name="Salary Expected" numFmtId="0">
      <sharedItems containsSemiMixedTypes="0" containsString="0" containsNumber="1" containsInteger="1" minValue="320000" maxValue="650000"/>
    </cacheField>
    <cacheField name="Experience" numFmtId="0">
      <sharedItems containsSemiMixedTypes="0" containsString="0" containsNumber="1" containsInteger="1" minValue="1" maxValue="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A C" refreshedDate="46287.533193518517" createdVersion="8" refreshedVersion="8" minRefreshableVersion="3" recordCount="25" xr:uid="{EB9F068D-F0E7-4E2A-BDF4-6941A1723BB7}">
  <cacheSource type="worksheet">
    <worksheetSource ref="A1:J26" sheet="Raw Data2"/>
  </cacheSource>
  <cacheFields count="10">
    <cacheField name="Employee ID" numFmtId="0">
      <sharedItems containsSemiMixedTypes="0" containsString="0" containsNumber="1" containsInteger="1" minValue="5001" maxValue="5023"/>
    </cacheField>
    <cacheField name="Employee Name" numFmtId="0">
      <sharedItems/>
    </cacheField>
    <cacheField name="City" numFmtId="0">
      <sharedItems count="4">
        <s v="Bangalore"/>
        <s v="Chennai"/>
        <s v="Hyderabad"/>
        <s v="Pune"/>
      </sharedItems>
    </cacheField>
    <cacheField name="Department" numFmtId="0">
      <sharedItems count="4">
        <s v="IT"/>
        <s v="Finance"/>
        <s v="HR"/>
        <s v="Operations"/>
      </sharedItems>
    </cacheField>
    <cacheField name="Source" numFmtId="0">
      <sharedItems/>
    </cacheField>
    <cacheField name="Status" numFmtId="0">
      <sharedItems/>
    </cacheField>
    <cacheField name="Joining Date" numFmtId="15">
      <sharedItems containsSemiMixedTypes="0" containsNonDate="0" containsDate="1" containsString="0" minDate="2026-01-05T00:00:00" maxDate="2026-06-19T00:00:00"/>
    </cacheField>
    <cacheField name="Salary" numFmtId="0">
      <sharedItems containsSemiMixedTypes="0" containsString="0" containsNumber="1" containsInteger="1" minValue="320000" maxValue="620000"/>
    </cacheField>
    <cacheField name="Experience" numFmtId="0">
      <sharedItems containsSemiMixedTypes="0" containsString="0" containsNumber="1" containsInteger="1" minValue="1" maxValue="4"/>
    </cacheField>
    <cacheField name="Performance" numFmtId="0">
      <sharedItems containsSemiMixedTypes="0" containsString="0" containsNumber="1" containsInteger="1" minValue="67" maxValue="9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A C" refreshedDate="46292.971561458333" createdVersion="8" refreshedVersion="8" minRefreshableVersion="3" recordCount="477" xr:uid="{B36E3146-C3DF-4323-98E4-857B0FA0305E}">
  <cacheSource type="worksheet">
    <worksheetSource name="HR_Data"/>
  </cacheSource>
  <cacheFields count="16">
    <cacheField name="Applicant ID" numFmtId="0">
      <sharedItems containsSemiMixedTypes="0" containsString="0" containsNumber="1" containsInteger="1" minValue="3101001" maxValue="3101470"/>
    </cacheField>
    <cacheField name="Candidate Name" numFmtId="0">
      <sharedItems/>
    </cacheField>
    <cacheField name="City" numFmtId="0">
      <sharedItems count="8">
        <s v="Bangalore"/>
        <s v="Chennai"/>
        <s v="Hyderabad"/>
        <s v="Pune"/>
        <s v="Delhi"/>
        <s v="Coimbatore"/>
        <s v="Mumbai"/>
        <s v="Kochi"/>
      </sharedItems>
    </cacheField>
    <cacheField name="Department" numFmtId="0">
      <sharedItems count="4">
        <s v="IT"/>
        <s v="HR"/>
        <s v="Finance"/>
        <s v="Operations"/>
      </sharedItems>
    </cacheField>
    <cacheField name="Job Role" numFmtId="0">
      <sharedItems count="12">
        <s v="Data Analyst"/>
        <s v="HR Executive"/>
        <s v="Python Developer"/>
        <s v="MIS Executive"/>
        <s v="Operations Executive"/>
        <s v="ML Engineer"/>
        <s v="Recruiter"/>
        <s v="Software Developer"/>
        <s v="Financial Analyst"/>
        <s v="Process Associate"/>
        <s v="Data Scientist"/>
        <s v="Business Analyst"/>
      </sharedItems>
    </cacheField>
    <cacheField name="Source" numFmtId="0">
      <sharedItems count="4">
        <s v="Naukri"/>
        <s v="Employee Referral"/>
        <s v="LinkedIn"/>
        <s v="Indeed"/>
      </sharedItems>
    </cacheField>
    <cacheField name="Status" numFmtId="0">
      <sharedItems count="4">
        <s v="Selected"/>
        <s v="Interview"/>
        <s v="Rejected"/>
        <s v="Applied"/>
      </sharedItems>
    </cacheField>
    <cacheField name="Application Date" numFmtId="15">
      <sharedItems containsSemiMixedTypes="0" containsNonDate="0" containsDate="1" containsString="0" minDate="2026-01-05T00:00:00" maxDate="2026-10-01T00:00:00"/>
    </cacheField>
    <cacheField name="Salary Expected" numFmtId="0">
      <sharedItems containsSemiMixedTypes="0" containsString="0" containsNumber="1" containsInteger="1" minValue="280000" maxValue="895000"/>
    </cacheField>
    <cacheField name="Experience" numFmtId="0">
      <sharedItems containsSemiMixedTypes="0" containsString="0" containsNumber="1" containsInteger="1" minValue="0" maxValue="5"/>
    </cacheField>
    <cacheField name="Performance" numFmtId="1">
      <sharedItems containsSemiMixedTypes="0" containsString="0" containsNumber="1" minValue="67" maxValue="95"/>
    </cacheField>
    <cacheField name="Experience Category" numFmtId="0">
      <sharedItems/>
    </cacheField>
    <cacheField name="Salary  Category" numFmtId="0">
      <sharedItems/>
    </cacheField>
    <cacheField name="Incentives" numFmtId="0">
      <sharedItems containsSemiMixedTypes="0" containsString="0" containsNumber="1" minValue="0.01" maxValue="0.05"/>
    </cacheField>
    <cacheField name="Duplicate Flag" numFmtId="0">
      <sharedItems/>
    </cacheField>
    <cacheField name="Month" numFmtId="0">
      <sharedItems containsSemiMixedTypes="0" containsString="0" containsNumber="1" containsInteger="1" minValue="1" maxValue="9" count="9">
        <n v="1"/>
        <n v="2"/>
        <n v="3"/>
        <n v="4"/>
        <n v="9"/>
        <n v="5"/>
        <n v="6"/>
        <n v="7"/>
        <n v="8"/>
      </sharedItems>
    </cacheField>
  </cacheFields>
  <extLst>
    <ext xmlns:x14="http://schemas.microsoft.com/office/spreadsheetml/2009/9/main" uri="{725AE2AE-9491-48be-B2B4-4EB974FC3084}">
      <x14:pivotCacheDefinition pivotCacheId="1002164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3101001"/>
    <s v="Arun"/>
    <x v="0"/>
    <s v="IT"/>
    <x v="0"/>
    <s v="Naukri"/>
    <s v="Selected"/>
    <d v="2026-01-05T00:00:00"/>
    <n v="450000"/>
    <n v="1"/>
  </r>
  <r>
    <n v="3101002"/>
    <s v="Priya"/>
    <x v="1"/>
    <s v="HR"/>
    <x v="1"/>
    <s v="Employee Referral"/>
    <s v="Interview"/>
    <d v="2026-01-12T00:00:00"/>
    <n v="380000"/>
    <n v="2"/>
  </r>
  <r>
    <n v="3101003"/>
    <s v="Rahul"/>
    <x v="0"/>
    <s v="IT"/>
    <x v="2"/>
    <s v="LinkedIn"/>
    <s v="Rejected"/>
    <d v="2026-01-18T00:00:00"/>
    <n v="500000"/>
    <n v="1"/>
  </r>
  <r>
    <n v="3101004"/>
    <s v="Divya"/>
    <x v="2"/>
    <s v="Finance"/>
    <x v="3"/>
    <s v="Naukri"/>
    <s v="Selected"/>
    <d v="2026-01-21T00:00:00"/>
    <n v="350000"/>
    <n v="2"/>
  </r>
  <r>
    <n v="3101005"/>
    <s v="Karthik"/>
    <x v="0"/>
    <s v="IT"/>
    <x v="0"/>
    <s v="Employee Referral"/>
    <s v="Interview"/>
    <d v="2026-01-25T00:00:00"/>
    <n v="420000"/>
    <n v="1"/>
  </r>
  <r>
    <n v="3101006"/>
    <s v="Sneha"/>
    <x v="1"/>
    <s v="Operations"/>
    <x v="4"/>
    <s v="Indeed"/>
    <s v="Rejected"/>
    <d v="2026-02-02T00:00:00"/>
    <n v="320000"/>
    <n v="2"/>
  </r>
  <r>
    <n v="3101007"/>
    <s v="Ajay"/>
    <x v="0"/>
    <s v="IT"/>
    <x v="5"/>
    <s v="LinkedIn"/>
    <s v="Interview"/>
    <d v="2026-02-08T00:00:00"/>
    <n v="600000"/>
    <n v="1"/>
  </r>
  <r>
    <n v="3101008"/>
    <s v="Meena"/>
    <x v="3"/>
    <s v="HR"/>
    <x v="6"/>
    <s v="Employee Referral"/>
    <s v="Selected"/>
    <d v="2026-02-14T00:00:00"/>
    <n v="400000"/>
    <n v="3"/>
  </r>
  <r>
    <n v="3101009"/>
    <s v="Rohit"/>
    <x v="0"/>
    <s v="Finance"/>
    <x v="3"/>
    <s v="Naukri"/>
    <s v="Rejected"/>
    <d v="2026-02-20T00:00:00"/>
    <n v="360000"/>
    <n v="1"/>
  </r>
  <r>
    <n v="3101010"/>
    <s v="Anjali"/>
    <x v="2"/>
    <s v="IT"/>
    <x v="0"/>
    <s v="LinkedIn"/>
    <s v="Selected"/>
    <d v="2026-02-25T00:00:00"/>
    <n v="480000"/>
    <n v="2"/>
  </r>
  <r>
    <n v="3101011"/>
    <s v="Suresh"/>
    <x v="1"/>
    <s v="IT"/>
    <x v="2"/>
    <s v="Naukri"/>
    <s v="Interview"/>
    <d v="2026-03-02T00:00:00"/>
    <n v="520000"/>
    <n v="2"/>
  </r>
  <r>
    <n v="3101012"/>
    <s v="Kavya"/>
    <x v="0"/>
    <s v="HR"/>
    <x v="1"/>
    <s v="Indeed"/>
    <s v="Rejected"/>
    <d v="2026-03-10T00:00:00"/>
    <n v="370000"/>
    <n v="1"/>
  </r>
  <r>
    <n v="3101013"/>
    <s v="Manoj"/>
    <x v="3"/>
    <s v="IT"/>
    <x v="0"/>
    <s v="LinkedIn"/>
    <s v="Selected"/>
    <d v="2026-03-15T00:00:00"/>
    <n v="450000"/>
    <n v="2"/>
  </r>
  <r>
    <n v="3101014"/>
    <s v="Lakshmi"/>
    <x v="0"/>
    <s v="Operations"/>
    <x v="4"/>
    <s v="Employee Referral"/>
    <s v="Interview"/>
    <d v="2026-03-22T00:00:00"/>
    <n v="340000"/>
    <n v="3"/>
  </r>
  <r>
    <n v="3101015"/>
    <s v="Vignesh"/>
    <x v="2"/>
    <s v="IT"/>
    <x v="5"/>
    <s v="Naukri"/>
    <s v="Selected"/>
    <d v="2026-03-28T00:00:00"/>
    <n v="650000"/>
    <n v="1"/>
  </r>
  <r>
    <n v="3101016"/>
    <s v="Pooja"/>
    <x v="0"/>
    <s v="Finance"/>
    <x v="3"/>
    <s v="LinkedIn"/>
    <s v="Rejected"/>
    <d v="2026-04-03T00:00:00"/>
    <n v="380000"/>
    <n v="2"/>
  </r>
  <r>
    <n v="3101017"/>
    <s v="Naveen"/>
    <x v="1"/>
    <s v="IT"/>
    <x v="0"/>
    <s v="Employee Referral"/>
    <s v="Interview"/>
    <d v="2026-04-09T00:00:00"/>
    <n v="440000"/>
    <n v="1"/>
  </r>
  <r>
    <n v="3101018"/>
    <s v="Swathi"/>
    <x v="0"/>
    <s v="HR"/>
    <x v="6"/>
    <s v="Naukri"/>
    <s v="Selected"/>
    <d v="2026-04-16T00:00:00"/>
    <n v="410000"/>
    <n v="2"/>
  </r>
  <r>
    <n v="3101019"/>
    <s v="Ganesh"/>
    <x v="3"/>
    <s v="IT"/>
    <x v="2"/>
    <s v="LinkedIn"/>
    <s v="Rejected"/>
    <d v="2026-04-22T00:00:00"/>
    <n v="510000"/>
    <n v="3"/>
  </r>
  <r>
    <n v="3101020"/>
    <s v="Harini"/>
    <x v="0"/>
    <s v="IT"/>
    <x v="0"/>
    <s v="Indeed"/>
    <s v="Interview"/>
    <d v="2026-04-29T00:00:00"/>
    <n v="46000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5001"/>
    <s v="Anu"/>
    <x v="0"/>
    <x v="0"/>
    <s v="Naukri"/>
    <s v="Joined"/>
    <d v="2026-01-05T00:00:00"/>
    <n v="420000"/>
    <n v="1"/>
    <n v="82"/>
  </r>
  <r>
    <n v="5002"/>
    <s v="Rahul"/>
    <x v="1"/>
    <x v="1"/>
    <s v="Referral"/>
    <s v="Joined"/>
    <d v="2026-01-12T00:00:00"/>
    <n v="380000"/>
    <n v="2"/>
    <n v="76"/>
  </r>
  <r>
    <n v="5003"/>
    <s v="Priya"/>
    <x v="0"/>
    <x v="2"/>
    <s v="LinkedIn"/>
    <s v="Pending"/>
    <d v="2026-01-18T00:00:00"/>
    <n v="350000"/>
    <n v="1"/>
    <n v="88"/>
  </r>
  <r>
    <n v="5004"/>
    <s v="Kiran"/>
    <x v="2"/>
    <x v="0"/>
    <s v="Naukri"/>
    <s v="Joined"/>
    <d v="2026-01-22T00:00:00"/>
    <n v="550000"/>
    <n v="3"/>
    <n v="91"/>
  </r>
  <r>
    <n v="5005"/>
    <s v="Sneha"/>
    <x v="0"/>
    <x v="1"/>
    <s v="Referral"/>
    <s v="Rejected"/>
    <d v="2026-01-29T00:00:00"/>
    <n v="400000"/>
    <n v="2"/>
    <n v="69"/>
  </r>
  <r>
    <n v="5006"/>
    <s v="Arjun"/>
    <x v="3"/>
    <x v="0"/>
    <s v="LinkedIn"/>
    <s v="Joined"/>
    <d v="2026-02-03T00:00:00"/>
    <n v="600000"/>
    <n v="4"/>
    <n v="95"/>
  </r>
  <r>
    <n v="5007"/>
    <s v="Divya"/>
    <x v="0"/>
    <x v="3"/>
    <s v="Walk-in"/>
    <s v="Pending"/>
    <d v="2026-02-10T00:00:00"/>
    <n v="320000"/>
    <n v="1"/>
    <n v="73"/>
  </r>
  <r>
    <n v="5008"/>
    <s v="Manoj"/>
    <x v="1"/>
    <x v="0"/>
    <s v="Naukri"/>
    <s v="Joined"/>
    <d v="2026-02-17T00:00:00"/>
    <n v="480000"/>
    <n v="2"/>
    <n v="84"/>
  </r>
  <r>
    <n v="5009"/>
    <s v="Kavya"/>
    <x v="0"/>
    <x v="2"/>
    <s v="Referral"/>
    <s v="Joined"/>
    <d v="2026-02-24T00:00:00"/>
    <n v="390000"/>
    <n v="2"/>
    <n v="79"/>
  </r>
  <r>
    <n v="5010"/>
    <s v="Suresh"/>
    <x v="2"/>
    <x v="1"/>
    <s v="LinkedIn"/>
    <s v="Rejected"/>
    <d v="2026-03-03T00:00:00"/>
    <n v="450000"/>
    <n v="3"/>
    <n v="71"/>
  </r>
  <r>
    <n v="5011"/>
    <s v="Meena"/>
    <x v="0"/>
    <x v="0"/>
    <s v="Naukri"/>
    <s v="Joined"/>
    <d v="2026-03-11T00:00:00"/>
    <n v="520000"/>
    <n v="1"/>
    <n v="89"/>
  </r>
  <r>
    <n v="5012"/>
    <s v="Ajay"/>
    <x v="3"/>
    <x v="3"/>
    <s v="Referral"/>
    <s v="Pending"/>
    <d v="2026-03-18T00:00:00"/>
    <n v="340000"/>
    <n v="2"/>
    <n v="67"/>
  </r>
  <r>
    <n v="5013"/>
    <s v="Lakshmi"/>
    <x v="0"/>
    <x v="1"/>
    <s v="Walk-in"/>
    <s v="Joined"/>
    <d v="2026-03-25T00:00:00"/>
    <n v="410000"/>
    <n v="3"/>
    <n v="86"/>
  </r>
  <r>
    <n v="5014"/>
    <s v="Vignesh"/>
    <x v="1"/>
    <x v="0"/>
    <s v="LinkedIn"/>
    <s v="Joined"/>
    <d v="2026-04-02T00:00:00"/>
    <n v="580000"/>
    <n v="2"/>
    <n v="92"/>
  </r>
  <r>
    <n v="5005"/>
    <s v="Sneha"/>
    <x v="0"/>
    <x v="1"/>
    <s v="Referral"/>
    <s v="Rejected"/>
    <d v="2026-04-09T00:00:00"/>
    <n v="400000"/>
    <n v="2"/>
    <n v="69"/>
  </r>
  <r>
    <n v="5015"/>
    <s v="Pooja"/>
    <x v="0"/>
    <x v="2"/>
    <s v="Naukri"/>
    <s v="Pending"/>
    <d v="2026-04-16T00:00:00"/>
    <n v="370000"/>
    <n v="1"/>
    <n v="81"/>
  </r>
  <r>
    <n v="5016"/>
    <s v="Naveen"/>
    <x v="2"/>
    <x v="0"/>
    <s v="Referral"/>
    <s v="Joined"/>
    <d v="2026-04-23T00:00:00"/>
    <n v="620000"/>
    <n v="4"/>
    <n v="94"/>
  </r>
  <r>
    <n v="5017"/>
    <s v="Swathi"/>
    <x v="0"/>
    <x v="3"/>
    <s v="LinkedIn"/>
    <s v="Joined"/>
    <d v="2026-04-30T00:00:00"/>
    <n v="360000"/>
    <n v="2"/>
    <n v="77"/>
  </r>
  <r>
    <n v="5018"/>
    <s v="Ganesh"/>
    <x v="3"/>
    <x v="1"/>
    <s v="Naukri"/>
    <s v="Rejected"/>
    <d v="2026-05-07T00:00:00"/>
    <n v="430000"/>
    <n v="3"/>
    <n v="72"/>
  </r>
  <r>
    <n v="5019"/>
    <s v="Harini"/>
    <x v="0"/>
    <x v="0"/>
    <s v="Referral"/>
    <s v="Joined"/>
    <d v="2026-05-14T00:00:00"/>
    <n v="500000"/>
    <n v="1"/>
    <n v="90"/>
  </r>
  <r>
    <n v="5020"/>
    <s v="Deepak"/>
    <x v="1"/>
    <x v="2"/>
    <s v="Walk-in"/>
    <s v="Pending"/>
    <d v="2026-05-21T00:00:00"/>
    <n v="330000"/>
    <n v="1"/>
    <n v="74"/>
  </r>
  <r>
    <n v="5021"/>
    <s v="Asha"/>
    <x v="0"/>
    <x v="1"/>
    <s v="LinkedIn"/>
    <s v="Joined"/>
    <d v="2026-05-28T00:00:00"/>
    <n v="460000"/>
    <n v="2"/>
    <n v="85"/>
  </r>
  <r>
    <n v="5016"/>
    <s v="Naveen"/>
    <x v="2"/>
    <x v="0"/>
    <s v="Referral"/>
    <s v="Joined"/>
    <d v="2026-06-04T00:00:00"/>
    <n v="620000"/>
    <n v="4"/>
    <n v="94"/>
  </r>
  <r>
    <n v="5022"/>
    <s v="Rohan"/>
    <x v="0"/>
    <x v="3"/>
    <s v="Naukri"/>
    <s v="Rejected"/>
    <d v="2026-06-11T00:00:00"/>
    <n v="350000"/>
    <n v="1"/>
    <n v="68"/>
  </r>
  <r>
    <n v="5023"/>
    <s v="Neha"/>
    <x v="3"/>
    <x v="0"/>
    <s v="Referral"/>
    <s v="Joined"/>
    <d v="2026-06-18T00:00:00"/>
    <n v="540000"/>
    <n v="3"/>
    <n v="8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7">
  <r>
    <n v="3101001"/>
    <s v="Arun"/>
    <x v="0"/>
    <x v="0"/>
    <x v="0"/>
    <x v="0"/>
    <x v="0"/>
    <d v="2026-01-05T00:00:00"/>
    <n v="450000"/>
    <n v="1"/>
    <n v="82"/>
    <s v="Fresher"/>
    <s v="Medium"/>
    <n v="0.02"/>
    <s v="Unique"/>
    <x v="0"/>
  </r>
  <r>
    <n v="3101002"/>
    <s v="Priya"/>
    <x v="1"/>
    <x v="1"/>
    <x v="1"/>
    <x v="1"/>
    <x v="1"/>
    <d v="2026-01-12T00:00:00"/>
    <n v="380000"/>
    <n v="2"/>
    <n v="76"/>
    <s v="Mid Level"/>
    <s v="Low"/>
    <n v="0.05"/>
    <s v="Unique"/>
    <x v="0"/>
  </r>
  <r>
    <n v="3101003"/>
    <s v="Rahul"/>
    <x v="0"/>
    <x v="0"/>
    <x v="2"/>
    <x v="2"/>
    <x v="2"/>
    <d v="2026-01-18T00:00:00"/>
    <n v="500000"/>
    <n v="1"/>
    <n v="88"/>
    <s v="Fresher"/>
    <s v="Medium"/>
    <n v="0.02"/>
    <s v="Unique"/>
    <x v="0"/>
  </r>
  <r>
    <n v="3101004"/>
    <s v="Divya"/>
    <x v="2"/>
    <x v="2"/>
    <x v="3"/>
    <x v="0"/>
    <x v="0"/>
    <d v="2026-01-21T00:00:00"/>
    <n v="350000"/>
    <n v="2"/>
    <n v="91"/>
    <s v="Mid Level"/>
    <s v="Low"/>
    <n v="0.02"/>
    <s v="Unique"/>
    <x v="0"/>
  </r>
  <r>
    <n v="3101005"/>
    <s v="Karthik"/>
    <x v="0"/>
    <x v="0"/>
    <x v="0"/>
    <x v="1"/>
    <x v="1"/>
    <d v="2026-01-24T00:00:00"/>
    <n v="420000"/>
    <n v="1"/>
    <n v="69"/>
    <s v="Fresher"/>
    <s v="Low"/>
    <n v="0.05"/>
    <s v="Duplicate"/>
    <x v="0"/>
  </r>
  <r>
    <n v="3101005"/>
    <s v="Karthik"/>
    <x v="0"/>
    <x v="0"/>
    <x v="0"/>
    <x v="1"/>
    <x v="1"/>
    <d v="2026-01-25T00:00:00"/>
    <n v="420000"/>
    <n v="1"/>
    <n v="95"/>
    <s v="Fresher"/>
    <s v="Low"/>
    <n v="0.05"/>
    <s v="Duplicate"/>
    <x v="0"/>
  </r>
  <r>
    <n v="3101006"/>
    <s v="Sneha"/>
    <x v="1"/>
    <x v="3"/>
    <x v="4"/>
    <x v="3"/>
    <x v="2"/>
    <d v="2026-02-02T00:00:00"/>
    <n v="320000"/>
    <n v="2"/>
    <n v="73"/>
    <s v="Mid Level"/>
    <s v="Low"/>
    <n v="0.01"/>
    <s v="Unique"/>
    <x v="1"/>
  </r>
  <r>
    <n v="3101007"/>
    <s v="Ajay"/>
    <x v="0"/>
    <x v="0"/>
    <x v="5"/>
    <x v="2"/>
    <x v="1"/>
    <d v="2026-02-08T00:00:00"/>
    <n v="600000"/>
    <n v="1"/>
    <n v="84"/>
    <s v="Fresher"/>
    <s v="High"/>
    <n v="0.02"/>
    <s v="Unique"/>
    <x v="1"/>
  </r>
  <r>
    <n v="3101008"/>
    <s v="Meena"/>
    <x v="3"/>
    <x v="1"/>
    <x v="6"/>
    <x v="1"/>
    <x v="0"/>
    <d v="2026-02-14T00:00:00"/>
    <n v="400000"/>
    <n v="3"/>
    <n v="79"/>
    <s v="Mid Level"/>
    <s v="Low"/>
    <n v="0.05"/>
    <s v="Unique"/>
    <x v="1"/>
  </r>
  <r>
    <n v="3101009"/>
    <s v="Rohit"/>
    <x v="0"/>
    <x v="2"/>
    <x v="3"/>
    <x v="0"/>
    <x v="2"/>
    <d v="2026-02-20T00:00:00"/>
    <n v="360000"/>
    <n v="1"/>
    <n v="71"/>
    <s v="Fresher"/>
    <s v="Low"/>
    <n v="0.02"/>
    <s v="Unique"/>
    <x v="1"/>
  </r>
  <r>
    <n v="3101010"/>
    <s v="Anjali"/>
    <x v="2"/>
    <x v="0"/>
    <x v="0"/>
    <x v="2"/>
    <x v="0"/>
    <d v="2026-02-25T00:00:00"/>
    <n v="480000"/>
    <n v="2"/>
    <n v="89"/>
    <s v="Mid Level"/>
    <s v="Medium"/>
    <n v="0.02"/>
    <s v="Unique"/>
    <x v="1"/>
  </r>
  <r>
    <n v="3101011"/>
    <s v="Suresh"/>
    <x v="1"/>
    <x v="0"/>
    <x v="2"/>
    <x v="0"/>
    <x v="1"/>
    <d v="2026-03-02T00:00:00"/>
    <n v="520000"/>
    <n v="2"/>
    <n v="67"/>
    <s v="Mid Level"/>
    <s v="Medium"/>
    <n v="0.02"/>
    <s v="Unique"/>
    <x v="2"/>
  </r>
  <r>
    <n v="3101012"/>
    <s v="Kavya"/>
    <x v="0"/>
    <x v="1"/>
    <x v="1"/>
    <x v="3"/>
    <x v="2"/>
    <d v="2026-03-10T00:00:00"/>
    <n v="370000"/>
    <n v="1"/>
    <n v="86"/>
    <s v="Fresher"/>
    <s v="Low"/>
    <n v="0.01"/>
    <s v="Unique"/>
    <x v="2"/>
  </r>
  <r>
    <n v="3101013"/>
    <s v="Manoj"/>
    <x v="3"/>
    <x v="0"/>
    <x v="0"/>
    <x v="2"/>
    <x v="0"/>
    <d v="2026-03-15T00:00:00"/>
    <n v="450000"/>
    <n v="2"/>
    <n v="92"/>
    <s v="Mid Level"/>
    <s v="Medium"/>
    <n v="0.02"/>
    <s v="Unique"/>
    <x v="2"/>
  </r>
  <r>
    <n v="3101014"/>
    <s v="Lakshmi"/>
    <x v="0"/>
    <x v="3"/>
    <x v="4"/>
    <x v="1"/>
    <x v="1"/>
    <d v="2026-03-22T00:00:00"/>
    <n v="340000"/>
    <n v="3"/>
    <n v="69"/>
    <s v="Mid Level"/>
    <s v="Low"/>
    <n v="0.05"/>
    <s v="Unique"/>
    <x v="2"/>
  </r>
  <r>
    <n v="3101015"/>
    <s v="Vignesh"/>
    <x v="2"/>
    <x v="0"/>
    <x v="5"/>
    <x v="0"/>
    <x v="0"/>
    <d v="2026-03-28T00:00:00"/>
    <n v="650000"/>
    <n v="1"/>
    <n v="81"/>
    <s v="Fresher"/>
    <s v="High"/>
    <n v="0.02"/>
    <s v="Unique"/>
    <x v="2"/>
  </r>
  <r>
    <n v="3101016"/>
    <s v="Pooja"/>
    <x v="0"/>
    <x v="2"/>
    <x v="3"/>
    <x v="2"/>
    <x v="2"/>
    <d v="2026-04-03T00:00:00"/>
    <n v="380000"/>
    <n v="2"/>
    <n v="94"/>
    <s v="Mid Level"/>
    <s v="Low"/>
    <n v="0.02"/>
    <s v="Unique"/>
    <x v="3"/>
  </r>
  <r>
    <n v="3101017"/>
    <s v="Naveen"/>
    <x v="1"/>
    <x v="0"/>
    <x v="0"/>
    <x v="1"/>
    <x v="1"/>
    <d v="2026-04-09T00:00:00"/>
    <n v="440000"/>
    <n v="1"/>
    <n v="77"/>
    <s v="Fresher"/>
    <s v="Low"/>
    <n v="0.05"/>
    <s v="Unique"/>
    <x v="3"/>
  </r>
  <r>
    <n v="3101018"/>
    <s v="Swathi"/>
    <x v="0"/>
    <x v="1"/>
    <x v="6"/>
    <x v="0"/>
    <x v="0"/>
    <d v="2026-04-16T00:00:00"/>
    <n v="410000"/>
    <n v="2"/>
    <n v="72"/>
    <s v="Mid Level"/>
    <s v="Low"/>
    <n v="0.02"/>
    <s v="Unique"/>
    <x v="3"/>
  </r>
  <r>
    <n v="3101019"/>
    <s v="Ganesh"/>
    <x v="3"/>
    <x v="0"/>
    <x v="2"/>
    <x v="2"/>
    <x v="2"/>
    <d v="2026-04-22T00:00:00"/>
    <n v="510000"/>
    <n v="3"/>
    <n v="90"/>
    <s v="Mid Level"/>
    <s v="Medium"/>
    <n v="0.02"/>
    <s v="Unique"/>
    <x v="3"/>
  </r>
  <r>
    <n v="3101020"/>
    <s v="Harini"/>
    <x v="0"/>
    <x v="0"/>
    <x v="0"/>
    <x v="3"/>
    <x v="1"/>
    <d v="2026-04-29T00:00:00"/>
    <n v="460000"/>
    <n v="1"/>
    <n v="74"/>
    <s v="Fresher"/>
    <s v="Medium"/>
    <n v="0.01"/>
    <s v="Unique"/>
    <x v="3"/>
  </r>
  <r>
    <n v="3101021"/>
    <s v="Farhan"/>
    <x v="4"/>
    <x v="1"/>
    <x v="1"/>
    <x v="0"/>
    <x v="3"/>
    <d v="2026-09-22T00:00:00"/>
    <n v="480000"/>
    <n v="3"/>
    <n v="85"/>
    <s v="Mid Level"/>
    <s v="Medium"/>
    <n v="0.02"/>
    <s v="Unique"/>
    <x v="4"/>
  </r>
  <r>
    <n v="3101022"/>
    <s v="Tejas"/>
    <x v="5"/>
    <x v="0"/>
    <x v="7"/>
    <x v="0"/>
    <x v="2"/>
    <d v="2026-05-31T00:00:00"/>
    <n v="460000"/>
    <n v="2"/>
    <n v="94"/>
    <s v="Mid Level"/>
    <s v="Medium"/>
    <n v="0.02"/>
    <s v="Unique"/>
    <x v="5"/>
  </r>
  <r>
    <n v="3101023"/>
    <s v="Reshma"/>
    <x v="0"/>
    <x v="3"/>
    <x v="4"/>
    <x v="1"/>
    <x v="2"/>
    <d v="2026-06-25T00:00:00"/>
    <n v="360000"/>
    <n v="3"/>
    <n v="68"/>
    <s v="Mid Level"/>
    <s v="Low"/>
    <n v="0.05"/>
    <s v="Unique"/>
    <x v="6"/>
  </r>
  <r>
    <n v="3101024"/>
    <s v="Vignesh"/>
    <x v="4"/>
    <x v="2"/>
    <x v="3"/>
    <x v="0"/>
    <x v="2"/>
    <d v="2026-05-25T00:00:00"/>
    <n v="470000"/>
    <n v="4"/>
    <n v="87"/>
    <s v="Experienced"/>
    <s v="Medium"/>
    <n v="0.02"/>
    <s v="Unique"/>
    <x v="5"/>
  </r>
  <r>
    <n v="3101025"/>
    <s v="Sanjay"/>
    <x v="6"/>
    <x v="2"/>
    <x v="8"/>
    <x v="2"/>
    <x v="3"/>
    <d v="2026-09-27T00:00:00"/>
    <n v="385000"/>
    <n v="2"/>
    <n v="82"/>
    <s v="Mid Level"/>
    <s v="Low"/>
    <n v="0.02"/>
    <s v="Unique"/>
    <x v="4"/>
  </r>
  <r>
    <n v="3101026"/>
    <s v="Yamini"/>
    <x v="4"/>
    <x v="2"/>
    <x v="8"/>
    <x v="1"/>
    <x v="0"/>
    <d v="2026-09-29T00:00:00"/>
    <n v="535000"/>
    <n v="4"/>
    <n v="76"/>
    <s v="Experienced"/>
    <s v="Medium"/>
    <n v="0.05"/>
    <s v="Unique"/>
    <x v="4"/>
  </r>
  <r>
    <n v="3101027"/>
    <s v="Dinesh"/>
    <x v="7"/>
    <x v="1"/>
    <x v="1"/>
    <x v="1"/>
    <x v="1"/>
    <d v="2026-09-14T00:00:00"/>
    <n v="430000"/>
    <n v="2"/>
    <n v="88"/>
    <s v="Mid Level"/>
    <s v="Low"/>
    <n v="0.05"/>
    <s v="Unique"/>
    <x v="4"/>
  </r>
  <r>
    <n v="3101028"/>
    <s v="Surya"/>
    <x v="0"/>
    <x v="1"/>
    <x v="6"/>
    <x v="2"/>
    <x v="2"/>
    <d v="2026-05-15T00:00:00"/>
    <n v="485000"/>
    <n v="5"/>
    <n v="91"/>
    <s v="Experienced"/>
    <s v="Medium"/>
    <n v="0.02"/>
    <s v="Unique"/>
    <x v="5"/>
  </r>
  <r>
    <n v="3101029"/>
    <s v="Dhanush"/>
    <x v="7"/>
    <x v="2"/>
    <x v="8"/>
    <x v="2"/>
    <x v="1"/>
    <d v="2026-06-30T00:00:00"/>
    <n v="580000"/>
    <n v="0"/>
    <n v="69"/>
    <s v="Fresher"/>
    <s v="Medium"/>
    <n v="0.02"/>
    <s v="Unique"/>
    <x v="6"/>
  </r>
  <r>
    <n v="3101030"/>
    <s v="Sanjana"/>
    <x v="5"/>
    <x v="3"/>
    <x v="9"/>
    <x v="3"/>
    <x v="2"/>
    <d v="2026-07-20T00:00:00"/>
    <n v="405000"/>
    <n v="4"/>
    <n v="95"/>
    <s v="Experienced"/>
    <s v="Low"/>
    <n v="0.01"/>
    <s v="Unique"/>
    <x v="7"/>
  </r>
  <r>
    <n v="3101031"/>
    <s v="Surya"/>
    <x v="7"/>
    <x v="2"/>
    <x v="3"/>
    <x v="2"/>
    <x v="1"/>
    <d v="2026-07-10T00:00:00"/>
    <n v="310000"/>
    <n v="0"/>
    <n v="73"/>
    <s v="Fresher"/>
    <s v="Low"/>
    <n v="0.02"/>
    <s v="Unique"/>
    <x v="7"/>
  </r>
  <r>
    <n v="3101032"/>
    <s v="Jeeva"/>
    <x v="5"/>
    <x v="1"/>
    <x v="1"/>
    <x v="1"/>
    <x v="1"/>
    <d v="2026-06-23T00:00:00"/>
    <n v="455000"/>
    <n v="2"/>
    <n v="84"/>
    <s v="Mid Level"/>
    <s v="Medium"/>
    <n v="0.05"/>
    <s v="Unique"/>
    <x v="6"/>
  </r>
  <r>
    <n v="3101033"/>
    <s v="Sathish"/>
    <x v="5"/>
    <x v="2"/>
    <x v="3"/>
    <x v="0"/>
    <x v="3"/>
    <d v="2026-07-23T00:00:00"/>
    <n v="330000"/>
    <n v="3"/>
    <n v="79"/>
    <s v="Mid Level"/>
    <s v="Low"/>
    <n v="0.02"/>
    <s v="Unique"/>
    <x v="7"/>
  </r>
  <r>
    <n v="3101034"/>
    <s v="Nithin"/>
    <x v="6"/>
    <x v="2"/>
    <x v="8"/>
    <x v="2"/>
    <x v="3"/>
    <d v="2026-09-02T00:00:00"/>
    <n v="585000"/>
    <n v="0"/>
    <n v="71"/>
    <s v="Fresher"/>
    <s v="Medium"/>
    <n v="0.02"/>
    <s v="Unique"/>
    <x v="4"/>
  </r>
  <r>
    <n v="3101035"/>
    <s v="Rekha"/>
    <x v="5"/>
    <x v="0"/>
    <x v="10"/>
    <x v="0"/>
    <x v="0"/>
    <d v="2026-08-16T00:00:00"/>
    <n v="785000"/>
    <n v="1"/>
    <n v="89"/>
    <s v="Fresher"/>
    <s v="High"/>
    <n v="0.02"/>
    <s v="Unique"/>
    <x v="8"/>
  </r>
  <r>
    <n v="3101036"/>
    <s v="Aishwarya"/>
    <x v="1"/>
    <x v="0"/>
    <x v="0"/>
    <x v="1"/>
    <x v="2"/>
    <d v="2026-05-24T00:00:00"/>
    <n v="630000"/>
    <n v="4"/>
    <n v="67"/>
    <s v="Experienced"/>
    <s v="High"/>
    <n v="0.05"/>
    <s v="Unique"/>
    <x v="5"/>
  </r>
  <r>
    <n v="3101037"/>
    <s v="Naveen"/>
    <x v="3"/>
    <x v="0"/>
    <x v="2"/>
    <x v="0"/>
    <x v="2"/>
    <d v="2026-07-10T00:00:00"/>
    <n v="645000"/>
    <n v="5"/>
    <n v="86"/>
    <s v="Experienced"/>
    <s v="High"/>
    <n v="0.02"/>
    <s v="Unique"/>
    <x v="7"/>
  </r>
  <r>
    <n v="3101038"/>
    <s v="Jeeva"/>
    <x v="0"/>
    <x v="0"/>
    <x v="10"/>
    <x v="1"/>
    <x v="2"/>
    <d v="2026-06-06T00:00:00"/>
    <n v="640000"/>
    <n v="4"/>
    <n v="92"/>
    <s v="Experienced"/>
    <s v="High"/>
    <n v="0.05"/>
    <s v="Unique"/>
    <x v="6"/>
  </r>
  <r>
    <n v="3101039"/>
    <s v="Sowmya"/>
    <x v="2"/>
    <x v="1"/>
    <x v="6"/>
    <x v="3"/>
    <x v="0"/>
    <d v="2026-06-12T00:00:00"/>
    <n v="505000"/>
    <n v="1"/>
    <n v="69"/>
    <s v="Fresher"/>
    <s v="Medium"/>
    <n v="0.01"/>
    <s v="Unique"/>
    <x v="6"/>
  </r>
  <r>
    <n v="3101040"/>
    <s v="Shreya"/>
    <x v="7"/>
    <x v="2"/>
    <x v="3"/>
    <x v="2"/>
    <x v="1"/>
    <d v="2026-06-22T00:00:00"/>
    <n v="300000"/>
    <n v="3"/>
    <n v="81"/>
    <s v="Mid Level"/>
    <s v="Low"/>
    <n v="0.02"/>
    <s v="Unique"/>
    <x v="6"/>
  </r>
  <r>
    <n v="3101041"/>
    <s v="Dhanush"/>
    <x v="7"/>
    <x v="0"/>
    <x v="2"/>
    <x v="0"/>
    <x v="3"/>
    <d v="2026-08-01T00:00:00"/>
    <n v="435000"/>
    <n v="0"/>
    <n v="94"/>
    <s v="Fresher"/>
    <s v="Low"/>
    <n v="0.02"/>
    <s v="Unique"/>
    <x v="8"/>
  </r>
  <r>
    <n v="3101042"/>
    <s v="Sowmya"/>
    <x v="4"/>
    <x v="3"/>
    <x v="4"/>
    <x v="3"/>
    <x v="1"/>
    <d v="2026-06-03T00:00:00"/>
    <n v="425000"/>
    <n v="3"/>
    <n v="77"/>
    <s v="Mid Level"/>
    <s v="Low"/>
    <n v="0.01"/>
    <s v="Unique"/>
    <x v="6"/>
  </r>
  <r>
    <n v="3101043"/>
    <s v="Lakshmi"/>
    <x v="2"/>
    <x v="1"/>
    <x v="6"/>
    <x v="2"/>
    <x v="1"/>
    <d v="2026-07-28T00:00:00"/>
    <n v="510000"/>
    <n v="3"/>
    <n v="72"/>
    <s v="Mid Level"/>
    <s v="Medium"/>
    <n v="0.02"/>
    <s v="Unique"/>
    <x v="7"/>
  </r>
  <r>
    <n v="3101044"/>
    <s v="Pranav"/>
    <x v="1"/>
    <x v="1"/>
    <x v="1"/>
    <x v="1"/>
    <x v="0"/>
    <d v="2026-06-16T00:00:00"/>
    <n v="470000"/>
    <n v="0"/>
    <n v="90"/>
    <s v="Fresher"/>
    <s v="Medium"/>
    <n v="0.05"/>
    <s v="Unique"/>
    <x v="6"/>
  </r>
  <r>
    <n v="3101045"/>
    <s v="Ananya"/>
    <x v="5"/>
    <x v="3"/>
    <x v="4"/>
    <x v="2"/>
    <x v="1"/>
    <d v="2026-05-08T00:00:00"/>
    <n v="445000"/>
    <n v="1"/>
    <n v="74"/>
    <s v="Fresher"/>
    <s v="Low"/>
    <n v="0.02"/>
    <s v="Unique"/>
    <x v="5"/>
  </r>
  <r>
    <n v="3101046"/>
    <s v="Nikhil"/>
    <x v="2"/>
    <x v="0"/>
    <x v="5"/>
    <x v="2"/>
    <x v="1"/>
    <d v="2026-08-19T00:00:00"/>
    <n v="765000"/>
    <n v="4"/>
    <n v="85"/>
    <s v="Experienced"/>
    <s v="High"/>
    <n v="0.02"/>
    <s v="Unique"/>
    <x v="8"/>
  </r>
  <r>
    <n v="3101047"/>
    <s v="Bharath"/>
    <x v="7"/>
    <x v="0"/>
    <x v="11"/>
    <x v="2"/>
    <x v="1"/>
    <d v="2026-07-09T00:00:00"/>
    <n v="575000"/>
    <n v="3"/>
    <n v="94"/>
    <s v="Mid Level"/>
    <s v="Medium"/>
    <n v="0.02"/>
    <s v="Unique"/>
    <x v="7"/>
  </r>
  <r>
    <n v="3101048"/>
    <s v="Keerthana"/>
    <x v="6"/>
    <x v="2"/>
    <x v="8"/>
    <x v="2"/>
    <x v="1"/>
    <d v="2026-09-03T00:00:00"/>
    <n v="415000"/>
    <n v="3"/>
    <n v="68"/>
    <s v="Mid Level"/>
    <s v="Low"/>
    <n v="0.02"/>
    <s v="Unique"/>
    <x v="4"/>
  </r>
  <r>
    <n v="3101049"/>
    <s v="Riya"/>
    <x v="1"/>
    <x v="0"/>
    <x v="7"/>
    <x v="2"/>
    <x v="0"/>
    <d v="2026-05-26T00:00:00"/>
    <n v="610000"/>
    <n v="3"/>
    <n v="87"/>
    <s v="Mid Level"/>
    <s v="High"/>
    <n v="0.02"/>
    <s v="Unique"/>
    <x v="5"/>
  </r>
  <r>
    <n v="3101050"/>
    <s v="Gokul"/>
    <x v="2"/>
    <x v="0"/>
    <x v="0"/>
    <x v="3"/>
    <x v="3"/>
    <d v="2026-08-01T00:00:00"/>
    <n v="595000"/>
    <n v="4"/>
    <n v="81.403265306122407"/>
    <s v="Experienced"/>
    <s v="Medium"/>
    <n v="0.01"/>
    <s v="Unique"/>
    <x v="8"/>
  </r>
  <r>
    <n v="3101051"/>
    <s v="Nikhil"/>
    <x v="1"/>
    <x v="1"/>
    <x v="6"/>
    <x v="3"/>
    <x v="2"/>
    <d v="2026-09-25T00:00:00"/>
    <n v="385000"/>
    <n v="5"/>
    <n v="81.406530612244893"/>
    <s v="Experienced"/>
    <s v="Low"/>
    <n v="0.01"/>
    <s v="Unique"/>
    <x v="4"/>
  </r>
  <r>
    <n v="3101052"/>
    <s v="Sanjay"/>
    <x v="6"/>
    <x v="3"/>
    <x v="4"/>
    <x v="2"/>
    <x v="0"/>
    <d v="2026-07-09T00:00:00"/>
    <n v="415000"/>
    <n v="0"/>
    <n v="81.409795918367294"/>
    <s v="Fresher"/>
    <s v="Low"/>
    <n v="0.02"/>
    <s v="Unique"/>
    <x v="7"/>
  </r>
  <r>
    <n v="3101053"/>
    <s v="Lakshmi"/>
    <x v="1"/>
    <x v="3"/>
    <x v="4"/>
    <x v="0"/>
    <x v="2"/>
    <d v="2026-06-19T00:00:00"/>
    <n v="310000"/>
    <n v="5"/>
    <n v="79"/>
    <s v="Experienced"/>
    <s v="Low"/>
    <n v="0.02"/>
    <s v="Unique"/>
    <x v="6"/>
  </r>
  <r>
    <n v="3101054"/>
    <s v="Siddharth"/>
    <x v="6"/>
    <x v="1"/>
    <x v="6"/>
    <x v="0"/>
    <x v="1"/>
    <d v="2026-07-22T00:00:00"/>
    <n v="400000"/>
    <n v="1"/>
    <n v="71"/>
    <s v="Fresher"/>
    <s v="Low"/>
    <n v="0.02"/>
    <s v="Unique"/>
    <x v="7"/>
  </r>
  <r>
    <n v="3101055"/>
    <s v="Rani"/>
    <x v="1"/>
    <x v="0"/>
    <x v="0"/>
    <x v="1"/>
    <x v="3"/>
    <d v="2026-07-07T00:00:00"/>
    <n v="380000"/>
    <n v="3"/>
    <n v="89"/>
    <s v="Mid Level"/>
    <s v="Low"/>
    <n v="0.05"/>
    <s v="Unique"/>
    <x v="7"/>
  </r>
  <r>
    <n v="3101056"/>
    <s v="Aravind"/>
    <x v="1"/>
    <x v="0"/>
    <x v="7"/>
    <x v="0"/>
    <x v="1"/>
    <d v="2026-05-27T00:00:00"/>
    <n v="755000"/>
    <n v="5"/>
    <n v="67"/>
    <s v="Experienced"/>
    <s v="High"/>
    <n v="0.02"/>
    <s v="Duplicate"/>
    <x v="5"/>
  </r>
  <r>
    <n v="3101057"/>
    <s v="Vignesh"/>
    <x v="4"/>
    <x v="2"/>
    <x v="8"/>
    <x v="0"/>
    <x v="3"/>
    <d v="2026-07-22T00:00:00"/>
    <n v="445000"/>
    <n v="4"/>
    <n v="86"/>
    <s v="Experienced"/>
    <s v="Low"/>
    <n v="0.02"/>
    <s v="Unique"/>
    <x v="7"/>
  </r>
  <r>
    <n v="3101058"/>
    <s v="Sathish"/>
    <x v="7"/>
    <x v="3"/>
    <x v="4"/>
    <x v="0"/>
    <x v="2"/>
    <d v="2026-09-08T00:00:00"/>
    <n v="360000"/>
    <n v="5"/>
    <n v="92"/>
    <s v="Experienced"/>
    <s v="Low"/>
    <n v="0.02"/>
    <s v="Unique"/>
    <x v="4"/>
  </r>
  <r>
    <n v="3101059"/>
    <s v="Akshaya"/>
    <x v="6"/>
    <x v="0"/>
    <x v="10"/>
    <x v="0"/>
    <x v="2"/>
    <d v="2026-08-22T00:00:00"/>
    <n v="680000"/>
    <n v="0"/>
    <n v="69"/>
    <s v="Fresher"/>
    <s v="High"/>
    <n v="0.02"/>
    <s v="Unique"/>
    <x v="8"/>
  </r>
  <r>
    <n v="3101060"/>
    <s v="Tarun"/>
    <x v="6"/>
    <x v="3"/>
    <x v="9"/>
    <x v="0"/>
    <x v="1"/>
    <d v="2026-08-17T00:00:00"/>
    <n v="370000"/>
    <n v="2"/>
    <n v="81"/>
    <s v="Mid Level"/>
    <s v="Low"/>
    <n v="0.02"/>
    <s v="Unique"/>
    <x v="8"/>
  </r>
  <r>
    <n v="3101061"/>
    <s v="Akash"/>
    <x v="4"/>
    <x v="0"/>
    <x v="7"/>
    <x v="0"/>
    <x v="2"/>
    <d v="2026-05-31T00:00:00"/>
    <n v="795000"/>
    <n v="1"/>
    <n v="94"/>
    <s v="Fresher"/>
    <s v="High"/>
    <n v="0.02"/>
    <s v="Unique"/>
    <x v="5"/>
  </r>
  <r>
    <n v="3101062"/>
    <s v="Farhan"/>
    <x v="1"/>
    <x v="0"/>
    <x v="0"/>
    <x v="2"/>
    <x v="1"/>
    <d v="2026-07-19T00:00:00"/>
    <n v="515000"/>
    <n v="0"/>
    <n v="77"/>
    <s v="Fresher"/>
    <s v="Medium"/>
    <n v="0.02"/>
    <s v="Unique"/>
    <x v="7"/>
  </r>
  <r>
    <n v="3101063"/>
    <s v="Gautham"/>
    <x v="4"/>
    <x v="2"/>
    <x v="3"/>
    <x v="1"/>
    <x v="1"/>
    <d v="2026-08-18T00:00:00"/>
    <n v="370000"/>
    <n v="5"/>
    <n v="72"/>
    <s v="Experienced"/>
    <s v="Low"/>
    <n v="0.05"/>
    <s v="Unique"/>
    <x v="8"/>
  </r>
  <r>
    <n v="3101064"/>
    <s v="Gautham"/>
    <x v="2"/>
    <x v="1"/>
    <x v="1"/>
    <x v="0"/>
    <x v="2"/>
    <d v="2026-09-18T00:00:00"/>
    <n v="475000"/>
    <n v="5"/>
    <n v="90"/>
    <s v="Experienced"/>
    <s v="Medium"/>
    <n v="0.02"/>
    <s v="Unique"/>
    <x v="4"/>
  </r>
  <r>
    <n v="3101065"/>
    <s v="Ashwin"/>
    <x v="6"/>
    <x v="0"/>
    <x v="5"/>
    <x v="2"/>
    <x v="0"/>
    <d v="2026-07-12T00:00:00"/>
    <n v="805000"/>
    <n v="4"/>
    <n v="74"/>
    <s v="Experienced"/>
    <s v="High"/>
    <n v="0.02"/>
    <s v="Unique"/>
    <x v="7"/>
  </r>
  <r>
    <n v="3101066"/>
    <s v="Keerthana"/>
    <x v="6"/>
    <x v="0"/>
    <x v="10"/>
    <x v="2"/>
    <x v="3"/>
    <d v="2026-05-25T00:00:00"/>
    <n v="850000"/>
    <n v="1"/>
    <n v="85"/>
    <s v="Fresher"/>
    <s v="High"/>
    <n v="0.02"/>
    <s v="Unique"/>
    <x v="5"/>
  </r>
  <r>
    <n v="3101067"/>
    <s v="Amrutha"/>
    <x v="6"/>
    <x v="0"/>
    <x v="10"/>
    <x v="3"/>
    <x v="0"/>
    <d v="2026-05-05T00:00:00"/>
    <n v="655000"/>
    <n v="5"/>
    <n v="94"/>
    <s v="Experienced"/>
    <s v="High"/>
    <n v="0.01"/>
    <s v="Unique"/>
    <x v="5"/>
  </r>
  <r>
    <n v="3101068"/>
    <s v="Sowmya"/>
    <x v="0"/>
    <x v="0"/>
    <x v="7"/>
    <x v="2"/>
    <x v="3"/>
    <d v="2026-08-13T00:00:00"/>
    <n v="630000"/>
    <n v="5"/>
    <n v="68"/>
    <s v="Experienced"/>
    <s v="High"/>
    <n v="0.02"/>
    <s v="Unique"/>
    <x v="8"/>
  </r>
  <r>
    <n v="3101069"/>
    <s v="Pranav"/>
    <x v="6"/>
    <x v="0"/>
    <x v="10"/>
    <x v="2"/>
    <x v="1"/>
    <d v="2026-08-28T00:00:00"/>
    <n v="790000"/>
    <n v="5"/>
    <n v="87"/>
    <s v="Experienced"/>
    <s v="High"/>
    <n v="0.02"/>
    <s v="Unique"/>
    <x v="8"/>
  </r>
  <r>
    <n v="3101070"/>
    <s v="Sowmya"/>
    <x v="6"/>
    <x v="0"/>
    <x v="7"/>
    <x v="2"/>
    <x v="2"/>
    <d v="2026-06-11T00:00:00"/>
    <n v="400000"/>
    <n v="3"/>
    <n v="81.403265306122407"/>
    <s v="Mid Level"/>
    <s v="Low"/>
    <n v="0.02"/>
    <s v="Unique"/>
    <x v="6"/>
  </r>
  <r>
    <n v="3101071"/>
    <s v="Vijay"/>
    <x v="7"/>
    <x v="0"/>
    <x v="0"/>
    <x v="2"/>
    <x v="0"/>
    <d v="2026-08-06T00:00:00"/>
    <n v="610000"/>
    <n v="4"/>
    <n v="79"/>
    <s v="Experienced"/>
    <s v="High"/>
    <n v="0.02"/>
    <s v="Unique"/>
    <x v="8"/>
  </r>
  <r>
    <n v="3101072"/>
    <s v="Ravi"/>
    <x v="2"/>
    <x v="3"/>
    <x v="9"/>
    <x v="0"/>
    <x v="3"/>
    <d v="2026-05-07T00:00:00"/>
    <n v="310000"/>
    <n v="4"/>
    <n v="71"/>
    <s v="Experienced"/>
    <s v="Low"/>
    <n v="0.02"/>
    <s v="Unique"/>
    <x v="5"/>
  </r>
  <r>
    <n v="3101073"/>
    <s v="Shreya"/>
    <x v="0"/>
    <x v="2"/>
    <x v="3"/>
    <x v="1"/>
    <x v="1"/>
    <d v="2026-09-12T00:00:00"/>
    <n v="350000"/>
    <n v="5"/>
    <n v="89"/>
    <s v="Experienced"/>
    <s v="Low"/>
    <n v="0.05"/>
    <s v="Unique"/>
    <x v="4"/>
  </r>
  <r>
    <n v="3101074"/>
    <s v="Dhanush"/>
    <x v="1"/>
    <x v="0"/>
    <x v="5"/>
    <x v="1"/>
    <x v="1"/>
    <d v="2026-07-08T00:00:00"/>
    <n v="525000"/>
    <n v="2"/>
    <n v="67"/>
    <s v="Mid Level"/>
    <s v="Medium"/>
    <n v="0.05"/>
    <s v="Unique"/>
    <x v="7"/>
  </r>
  <r>
    <n v="3101075"/>
    <s v="Nandhini"/>
    <x v="2"/>
    <x v="0"/>
    <x v="11"/>
    <x v="3"/>
    <x v="2"/>
    <d v="2026-08-02T00:00:00"/>
    <n v="540000"/>
    <n v="1"/>
    <n v="86"/>
    <s v="Fresher"/>
    <s v="Medium"/>
    <n v="0.01"/>
    <s v="Unique"/>
    <x v="8"/>
  </r>
  <r>
    <n v="3101076"/>
    <s v="Nandhini"/>
    <x v="0"/>
    <x v="1"/>
    <x v="6"/>
    <x v="1"/>
    <x v="3"/>
    <d v="2026-08-02T00:00:00"/>
    <n v="370000"/>
    <n v="4"/>
    <n v="92"/>
    <s v="Experienced"/>
    <s v="Low"/>
    <n v="0.05"/>
    <s v="Unique"/>
    <x v="8"/>
  </r>
  <r>
    <n v="3101077"/>
    <s v="Amal"/>
    <x v="2"/>
    <x v="0"/>
    <x v="10"/>
    <x v="2"/>
    <x v="0"/>
    <d v="2026-06-01T00:00:00"/>
    <n v="500000"/>
    <n v="4"/>
    <n v="69"/>
    <s v="Experienced"/>
    <s v="Medium"/>
    <n v="0.02"/>
    <s v="Unique"/>
    <x v="6"/>
  </r>
  <r>
    <n v="3101078"/>
    <s v="Yamini"/>
    <x v="1"/>
    <x v="0"/>
    <x v="10"/>
    <x v="3"/>
    <x v="0"/>
    <d v="2026-06-11T00:00:00"/>
    <n v="890000"/>
    <n v="4"/>
    <n v="81"/>
    <s v="Experienced"/>
    <s v="High"/>
    <n v="0.01"/>
    <s v="Unique"/>
    <x v="6"/>
  </r>
  <r>
    <n v="3101079"/>
    <s v="Rakesh"/>
    <x v="2"/>
    <x v="0"/>
    <x v="2"/>
    <x v="3"/>
    <x v="1"/>
    <d v="2026-05-21T00:00:00"/>
    <n v="585000"/>
    <n v="3"/>
    <n v="94"/>
    <s v="Mid Level"/>
    <s v="Medium"/>
    <n v="0.01"/>
    <s v="Unique"/>
    <x v="5"/>
  </r>
  <r>
    <n v="3101080"/>
    <s v="Shalini"/>
    <x v="1"/>
    <x v="0"/>
    <x v="10"/>
    <x v="1"/>
    <x v="3"/>
    <d v="2026-06-02T00:00:00"/>
    <n v="830000"/>
    <n v="4"/>
    <n v="77"/>
    <s v="Experienced"/>
    <s v="High"/>
    <n v="0.05"/>
    <s v="Unique"/>
    <x v="6"/>
  </r>
  <r>
    <n v="3101081"/>
    <s v="Rakesh"/>
    <x v="4"/>
    <x v="3"/>
    <x v="4"/>
    <x v="1"/>
    <x v="3"/>
    <d v="2026-07-30T00:00:00"/>
    <n v="300000"/>
    <n v="0"/>
    <n v="72"/>
    <s v="Fresher"/>
    <s v="Low"/>
    <n v="0.05"/>
    <s v="Unique"/>
    <x v="7"/>
  </r>
  <r>
    <n v="3101082"/>
    <s v="Chaitanya"/>
    <x v="5"/>
    <x v="0"/>
    <x v="11"/>
    <x v="3"/>
    <x v="2"/>
    <d v="2026-06-29T00:00:00"/>
    <n v="520000"/>
    <n v="1"/>
    <n v="90"/>
    <s v="Fresher"/>
    <s v="Medium"/>
    <n v="0.01"/>
    <s v="Unique"/>
    <x v="6"/>
  </r>
  <r>
    <n v="3101083"/>
    <s v="Maya"/>
    <x v="4"/>
    <x v="0"/>
    <x v="10"/>
    <x v="1"/>
    <x v="1"/>
    <d v="2026-06-17T00:00:00"/>
    <n v="795000"/>
    <n v="1"/>
    <n v="74"/>
    <s v="Fresher"/>
    <s v="High"/>
    <n v="0.05"/>
    <s v="Unique"/>
    <x v="6"/>
  </r>
  <r>
    <n v="3101084"/>
    <s v="Pooja"/>
    <x v="4"/>
    <x v="0"/>
    <x v="10"/>
    <x v="1"/>
    <x v="3"/>
    <d v="2026-08-08T00:00:00"/>
    <n v="595000"/>
    <n v="1"/>
    <n v="85"/>
    <s v="Fresher"/>
    <s v="Medium"/>
    <n v="0.05"/>
    <s v="Unique"/>
    <x v="8"/>
  </r>
  <r>
    <n v="3101085"/>
    <s v="Nithin"/>
    <x v="2"/>
    <x v="2"/>
    <x v="3"/>
    <x v="3"/>
    <x v="1"/>
    <d v="2026-06-02T00:00:00"/>
    <n v="385000"/>
    <n v="2"/>
    <n v="94"/>
    <s v="Mid Level"/>
    <s v="Low"/>
    <n v="0.01"/>
    <s v="Unique"/>
    <x v="6"/>
  </r>
  <r>
    <n v="3101086"/>
    <s v="Nithin"/>
    <x v="6"/>
    <x v="0"/>
    <x v="5"/>
    <x v="3"/>
    <x v="0"/>
    <d v="2026-06-08T00:00:00"/>
    <n v="575000"/>
    <n v="4"/>
    <n v="68"/>
    <s v="Experienced"/>
    <s v="Medium"/>
    <n v="0.01"/>
    <s v="Unique"/>
    <x v="6"/>
  </r>
  <r>
    <n v="3101087"/>
    <s v="Rekha"/>
    <x v="6"/>
    <x v="1"/>
    <x v="6"/>
    <x v="1"/>
    <x v="2"/>
    <d v="2026-08-13T00:00:00"/>
    <n v="495000"/>
    <n v="0"/>
    <n v="87"/>
    <s v="Fresher"/>
    <s v="Medium"/>
    <n v="0.05"/>
    <s v="Unique"/>
    <x v="8"/>
  </r>
  <r>
    <n v="3101088"/>
    <s v="Tarun"/>
    <x v="7"/>
    <x v="0"/>
    <x v="10"/>
    <x v="0"/>
    <x v="2"/>
    <d v="2026-09-06T00:00:00"/>
    <n v="845000"/>
    <n v="5"/>
    <n v="81.403265306122407"/>
    <s v="Experienced"/>
    <s v="High"/>
    <n v="0.02"/>
    <s v="Unique"/>
    <x v="4"/>
  </r>
  <r>
    <n v="3101089"/>
    <s v="Neha"/>
    <x v="7"/>
    <x v="0"/>
    <x v="10"/>
    <x v="3"/>
    <x v="0"/>
    <d v="2026-08-13T00:00:00"/>
    <n v="610000"/>
    <n v="5"/>
    <n v="88"/>
    <s v="Experienced"/>
    <s v="High"/>
    <n v="0.01"/>
    <s v="Unique"/>
    <x v="8"/>
  </r>
  <r>
    <n v="3101090"/>
    <s v="Aishwarya"/>
    <x v="6"/>
    <x v="1"/>
    <x v="1"/>
    <x v="3"/>
    <x v="0"/>
    <d v="2026-09-28T00:00:00"/>
    <n v="495000"/>
    <n v="5"/>
    <n v="91"/>
    <s v="Experienced"/>
    <s v="Medium"/>
    <n v="0.01"/>
    <s v="Unique"/>
    <x v="4"/>
  </r>
  <r>
    <n v="3101091"/>
    <s v="Keerthana"/>
    <x v="5"/>
    <x v="2"/>
    <x v="8"/>
    <x v="3"/>
    <x v="0"/>
    <d v="2026-06-28T00:00:00"/>
    <n v="415000"/>
    <n v="5"/>
    <n v="69"/>
    <s v="Experienced"/>
    <s v="Low"/>
    <n v="0.01"/>
    <s v="Unique"/>
    <x v="6"/>
  </r>
  <r>
    <n v="3101092"/>
    <s v="Rekha"/>
    <x v="4"/>
    <x v="0"/>
    <x v="0"/>
    <x v="2"/>
    <x v="2"/>
    <d v="2026-09-11T00:00:00"/>
    <n v="575000"/>
    <n v="2"/>
    <n v="95"/>
    <s v="Mid Level"/>
    <s v="Medium"/>
    <n v="0.02"/>
    <s v="Unique"/>
    <x v="4"/>
  </r>
  <r>
    <n v="3101093"/>
    <s v="Yamini"/>
    <x v="1"/>
    <x v="1"/>
    <x v="1"/>
    <x v="2"/>
    <x v="1"/>
    <d v="2026-05-05T00:00:00"/>
    <n v="345000"/>
    <n v="0"/>
    <n v="73"/>
    <s v="Fresher"/>
    <s v="Low"/>
    <n v="0.02"/>
    <s v="Unique"/>
    <x v="5"/>
  </r>
  <r>
    <n v="3101094"/>
    <s v="Tarun"/>
    <x v="3"/>
    <x v="2"/>
    <x v="8"/>
    <x v="2"/>
    <x v="2"/>
    <d v="2026-06-15T00:00:00"/>
    <n v="475000"/>
    <n v="5"/>
    <n v="84"/>
    <s v="Experienced"/>
    <s v="Medium"/>
    <n v="0.02"/>
    <s v="Unique"/>
    <x v="6"/>
  </r>
  <r>
    <n v="3101095"/>
    <s v="Bharath"/>
    <x v="7"/>
    <x v="3"/>
    <x v="9"/>
    <x v="2"/>
    <x v="0"/>
    <d v="2026-07-11T00:00:00"/>
    <n v="285000"/>
    <n v="3"/>
    <n v="79"/>
    <s v="Mid Level"/>
    <s v="Low"/>
    <n v="0.02"/>
    <s v="Unique"/>
    <x v="7"/>
  </r>
  <r>
    <n v="3101096"/>
    <s v="Monica"/>
    <x v="3"/>
    <x v="2"/>
    <x v="8"/>
    <x v="3"/>
    <x v="1"/>
    <d v="2026-07-23T00:00:00"/>
    <n v="530000"/>
    <n v="4"/>
    <n v="71"/>
    <s v="Experienced"/>
    <s v="Medium"/>
    <n v="0.01"/>
    <s v="Unique"/>
    <x v="7"/>
  </r>
  <r>
    <n v="3101097"/>
    <s v="Rani"/>
    <x v="5"/>
    <x v="0"/>
    <x v="10"/>
    <x v="3"/>
    <x v="0"/>
    <d v="2026-09-05T00:00:00"/>
    <n v="510000"/>
    <n v="1"/>
    <n v="89"/>
    <s v="Fresher"/>
    <s v="Medium"/>
    <n v="0.01"/>
    <s v="Unique"/>
    <x v="4"/>
  </r>
  <r>
    <n v="3101098"/>
    <s v="Surya"/>
    <x v="4"/>
    <x v="0"/>
    <x v="11"/>
    <x v="1"/>
    <x v="0"/>
    <d v="2026-07-12T00:00:00"/>
    <n v="685000"/>
    <n v="4"/>
    <n v="67"/>
    <s v="Experienced"/>
    <s v="High"/>
    <n v="0.05"/>
    <s v="Unique"/>
    <x v="7"/>
  </r>
  <r>
    <n v="3101099"/>
    <s v="Divya"/>
    <x v="6"/>
    <x v="0"/>
    <x v="7"/>
    <x v="0"/>
    <x v="3"/>
    <d v="2026-05-19T00:00:00"/>
    <n v="725000"/>
    <n v="5"/>
    <n v="86"/>
    <s v="Experienced"/>
    <s v="High"/>
    <n v="0.02"/>
    <s v="Unique"/>
    <x v="5"/>
  </r>
  <r>
    <n v="3101100"/>
    <s v="Shalini"/>
    <x v="5"/>
    <x v="1"/>
    <x v="6"/>
    <x v="0"/>
    <x v="3"/>
    <d v="2026-09-13T00:00:00"/>
    <n v="420000"/>
    <n v="4"/>
    <n v="92"/>
    <s v="Experienced"/>
    <s v="Low"/>
    <n v="0.02"/>
    <s v="Unique"/>
    <x v="4"/>
  </r>
  <r>
    <n v="3101101"/>
    <s v="Tejas"/>
    <x v="4"/>
    <x v="3"/>
    <x v="4"/>
    <x v="3"/>
    <x v="1"/>
    <d v="2026-05-22T00:00:00"/>
    <n v="335000"/>
    <n v="4"/>
    <n v="69"/>
    <s v="Experienced"/>
    <s v="Low"/>
    <n v="0.01"/>
    <s v="Unique"/>
    <x v="5"/>
  </r>
  <r>
    <n v="3101102"/>
    <s v="Rani"/>
    <x v="7"/>
    <x v="3"/>
    <x v="4"/>
    <x v="0"/>
    <x v="3"/>
    <d v="2026-06-26T00:00:00"/>
    <n v="425000"/>
    <n v="0"/>
    <n v="81"/>
    <s v="Fresher"/>
    <s v="Low"/>
    <n v="0.02"/>
    <s v="Unique"/>
    <x v="6"/>
  </r>
  <r>
    <n v="3101103"/>
    <s v="Preethi"/>
    <x v="3"/>
    <x v="2"/>
    <x v="3"/>
    <x v="2"/>
    <x v="1"/>
    <d v="2026-07-11T00:00:00"/>
    <n v="455000"/>
    <n v="5"/>
    <n v="94"/>
    <s v="Experienced"/>
    <s v="Medium"/>
    <n v="0.02"/>
    <s v="Unique"/>
    <x v="7"/>
  </r>
  <r>
    <n v="3101104"/>
    <s v="Harish"/>
    <x v="4"/>
    <x v="0"/>
    <x v="10"/>
    <x v="1"/>
    <x v="1"/>
    <d v="2026-09-18T00:00:00"/>
    <n v="595000"/>
    <n v="1"/>
    <n v="77"/>
    <s v="Fresher"/>
    <s v="Medium"/>
    <n v="0.05"/>
    <s v="Unique"/>
    <x v="4"/>
  </r>
  <r>
    <n v="3101105"/>
    <s v="Jeeva"/>
    <x v="2"/>
    <x v="0"/>
    <x v="5"/>
    <x v="0"/>
    <x v="2"/>
    <d v="2026-05-11T00:00:00"/>
    <n v="690000"/>
    <n v="2"/>
    <n v="72"/>
    <s v="Mid Level"/>
    <s v="High"/>
    <n v="0.02"/>
    <s v="Unique"/>
    <x v="5"/>
  </r>
  <r>
    <n v="3101106"/>
    <s v="Manoj"/>
    <x v="2"/>
    <x v="0"/>
    <x v="11"/>
    <x v="3"/>
    <x v="0"/>
    <d v="2026-06-15T00:00:00"/>
    <n v="640000"/>
    <n v="1"/>
    <n v="90"/>
    <s v="Fresher"/>
    <s v="High"/>
    <n v="0.01"/>
    <s v="Unique"/>
    <x v="6"/>
  </r>
  <r>
    <n v="3101107"/>
    <s v="Ananya"/>
    <x v="2"/>
    <x v="3"/>
    <x v="4"/>
    <x v="2"/>
    <x v="1"/>
    <d v="2026-09-05T00:00:00"/>
    <n v="285000"/>
    <n v="4"/>
    <n v="74"/>
    <s v="Experienced"/>
    <s v="Low"/>
    <n v="0.02"/>
    <s v="Unique"/>
    <x v="4"/>
  </r>
  <r>
    <n v="3101108"/>
    <s v="Shalini"/>
    <x v="3"/>
    <x v="1"/>
    <x v="1"/>
    <x v="3"/>
    <x v="3"/>
    <d v="2026-05-26T00:00:00"/>
    <n v="430000"/>
    <n v="3"/>
    <n v="85"/>
    <s v="Mid Level"/>
    <s v="Low"/>
    <n v="0.01"/>
    <s v="Unique"/>
    <x v="5"/>
  </r>
  <r>
    <n v="3101109"/>
    <s v="Jeeva"/>
    <x v="4"/>
    <x v="0"/>
    <x v="5"/>
    <x v="0"/>
    <x v="1"/>
    <d v="2026-05-17T00:00:00"/>
    <n v="725000"/>
    <n v="0"/>
    <n v="94"/>
    <s v="Fresher"/>
    <s v="High"/>
    <n v="0.02"/>
    <s v="Unique"/>
    <x v="5"/>
  </r>
  <r>
    <n v="3101110"/>
    <s v="Rani"/>
    <x v="4"/>
    <x v="0"/>
    <x v="0"/>
    <x v="2"/>
    <x v="1"/>
    <d v="2026-05-26T00:00:00"/>
    <n v="590000"/>
    <n v="3"/>
    <n v="68"/>
    <s v="Mid Level"/>
    <s v="Medium"/>
    <n v="0.02"/>
    <s v="Unique"/>
    <x v="5"/>
  </r>
  <r>
    <n v="3101111"/>
    <s v="Maya"/>
    <x v="3"/>
    <x v="0"/>
    <x v="5"/>
    <x v="2"/>
    <x v="0"/>
    <d v="2026-09-06T00:00:00"/>
    <n v="735000"/>
    <n v="1"/>
    <n v="87"/>
    <s v="Fresher"/>
    <s v="High"/>
    <n v="0.02"/>
    <s v="Unique"/>
    <x v="4"/>
  </r>
  <r>
    <n v="3101112"/>
    <s v="Kiran"/>
    <x v="7"/>
    <x v="3"/>
    <x v="9"/>
    <x v="1"/>
    <x v="1"/>
    <d v="2026-08-03T00:00:00"/>
    <n v="310000"/>
    <n v="5"/>
    <n v="82"/>
    <s v="Experienced"/>
    <s v="Low"/>
    <n v="0.05"/>
    <s v="Unique"/>
    <x v="8"/>
  </r>
  <r>
    <n v="3101113"/>
    <s v="Shreya"/>
    <x v="5"/>
    <x v="1"/>
    <x v="1"/>
    <x v="1"/>
    <x v="0"/>
    <d v="2026-06-26T00:00:00"/>
    <n v="360000"/>
    <n v="5"/>
    <n v="76"/>
    <s v="Experienced"/>
    <s v="Low"/>
    <n v="0.05"/>
    <s v="Unique"/>
    <x v="6"/>
  </r>
  <r>
    <n v="3101114"/>
    <s v="Dinesh"/>
    <x v="1"/>
    <x v="0"/>
    <x v="10"/>
    <x v="2"/>
    <x v="0"/>
    <d v="2026-06-24T00:00:00"/>
    <n v="775000"/>
    <n v="5"/>
    <n v="88"/>
    <s v="Experienced"/>
    <s v="High"/>
    <n v="0.02"/>
    <s v="Unique"/>
    <x v="6"/>
  </r>
  <r>
    <n v="3101115"/>
    <s v="Nandhini"/>
    <x v="7"/>
    <x v="0"/>
    <x v="0"/>
    <x v="2"/>
    <x v="2"/>
    <d v="2026-07-10T00:00:00"/>
    <n v="615000"/>
    <n v="2"/>
    <n v="91"/>
    <s v="Mid Level"/>
    <s v="High"/>
    <n v="0.02"/>
    <s v="Unique"/>
    <x v="7"/>
  </r>
  <r>
    <n v="3101116"/>
    <s v="Vishal"/>
    <x v="7"/>
    <x v="0"/>
    <x v="0"/>
    <x v="1"/>
    <x v="1"/>
    <d v="2026-07-11T00:00:00"/>
    <n v="535000"/>
    <n v="2"/>
    <n v="69"/>
    <s v="Mid Level"/>
    <s v="Medium"/>
    <n v="0.05"/>
    <s v="Unique"/>
    <x v="7"/>
  </r>
  <r>
    <n v="3101117"/>
    <s v="Harish"/>
    <x v="1"/>
    <x v="0"/>
    <x v="5"/>
    <x v="2"/>
    <x v="3"/>
    <d v="2026-08-27T00:00:00"/>
    <n v="885000"/>
    <n v="3"/>
    <n v="95"/>
    <s v="Mid Level"/>
    <s v="High"/>
    <n v="0.02"/>
    <s v="Unique"/>
    <x v="8"/>
  </r>
  <r>
    <n v="3101118"/>
    <s v="Ananya"/>
    <x v="4"/>
    <x v="0"/>
    <x v="11"/>
    <x v="0"/>
    <x v="1"/>
    <d v="2026-07-30T00:00:00"/>
    <n v="680000"/>
    <n v="4"/>
    <n v="73"/>
    <s v="Experienced"/>
    <s v="High"/>
    <n v="0.02"/>
    <s v="Duplicate"/>
    <x v="7"/>
  </r>
  <r>
    <n v="3101119"/>
    <s v="Deepa"/>
    <x v="6"/>
    <x v="0"/>
    <x v="11"/>
    <x v="0"/>
    <x v="0"/>
    <d v="2026-05-13T00:00:00"/>
    <n v="585000"/>
    <n v="0"/>
    <n v="84"/>
    <s v="Fresher"/>
    <s v="Medium"/>
    <n v="0.02"/>
    <s v="Unique"/>
    <x v="5"/>
  </r>
  <r>
    <n v="3101120"/>
    <s v="Reshma"/>
    <x v="1"/>
    <x v="2"/>
    <x v="3"/>
    <x v="1"/>
    <x v="2"/>
    <d v="2026-09-18T00:00:00"/>
    <n v="345000"/>
    <n v="0"/>
    <n v="79"/>
    <s v="Fresher"/>
    <s v="Low"/>
    <n v="0.05"/>
    <s v="Unique"/>
    <x v="4"/>
  </r>
  <r>
    <n v="3101121"/>
    <s v="Siddharth"/>
    <x v="2"/>
    <x v="0"/>
    <x v="0"/>
    <x v="0"/>
    <x v="1"/>
    <d v="2026-06-15T00:00:00"/>
    <n v="460000"/>
    <n v="4"/>
    <n v="71"/>
    <s v="Experienced"/>
    <s v="Medium"/>
    <n v="0.02"/>
    <s v="Unique"/>
    <x v="6"/>
  </r>
  <r>
    <n v="3101122"/>
    <s v="Akash"/>
    <x v="0"/>
    <x v="3"/>
    <x v="9"/>
    <x v="0"/>
    <x v="2"/>
    <d v="2026-09-13T00:00:00"/>
    <n v="395000"/>
    <n v="0"/>
    <n v="89"/>
    <s v="Fresher"/>
    <s v="Low"/>
    <n v="0.02"/>
    <s v="Unique"/>
    <x v="4"/>
  </r>
  <r>
    <n v="3101123"/>
    <s v="Tarun"/>
    <x v="2"/>
    <x v="0"/>
    <x v="11"/>
    <x v="1"/>
    <x v="1"/>
    <d v="2026-08-30T00:00:00"/>
    <n v="495000"/>
    <n v="5"/>
    <n v="67"/>
    <s v="Experienced"/>
    <s v="Medium"/>
    <n v="0.05"/>
    <s v="Unique"/>
    <x v="8"/>
  </r>
  <r>
    <n v="3101124"/>
    <s v="Divya"/>
    <x v="3"/>
    <x v="1"/>
    <x v="1"/>
    <x v="3"/>
    <x v="1"/>
    <d v="2026-09-05T00:00:00"/>
    <n v="490000"/>
    <n v="1"/>
    <n v="86"/>
    <s v="Fresher"/>
    <s v="Medium"/>
    <n v="0.01"/>
    <s v="Unique"/>
    <x v="4"/>
  </r>
  <r>
    <n v="3101125"/>
    <s v="Monica"/>
    <x v="5"/>
    <x v="0"/>
    <x v="7"/>
    <x v="0"/>
    <x v="2"/>
    <d v="2026-08-08T00:00:00"/>
    <n v="735000"/>
    <n v="3"/>
    <n v="92"/>
    <s v="Mid Level"/>
    <s v="High"/>
    <n v="0.02"/>
    <s v="Unique"/>
    <x v="8"/>
  </r>
  <r>
    <n v="3101126"/>
    <s v="Akash"/>
    <x v="5"/>
    <x v="0"/>
    <x v="7"/>
    <x v="1"/>
    <x v="2"/>
    <d v="2026-09-15T00:00:00"/>
    <n v="485000"/>
    <n v="3"/>
    <n v="69"/>
    <s v="Mid Level"/>
    <s v="Medium"/>
    <n v="0.05"/>
    <s v="Unique"/>
    <x v="4"/>
  </r>
  <r>
    <n v="3101127"/>
    <s v="Sanjay"/>
    <x v="3"/>
    <x v="1"/>
    <x v="1"/>
    <x v="3"/>
    <x v="1"/>
    <d v="2026-08-21T00:00:00"/>
    <n v="485000"/>
    <n v="5"/>
    <n v="81"/>
    <s v="Experienced"/>
    <s v="Medium"/>
    <n v="0.01"/>
    <s v="Unique"/>
    <x v="8"/>
  </r>
  <r>
    <n v="3101128"/>
    <s v="Amal"/>
    <x v="4"/>
    <x v="1"/>
    <x v="6"/>
    <x v="2"/>
    <x v="3"/>
    <d v="2026-06-03T00:00:00"/>
    <n v="435000"/>
    <n v="4"/>
    <n v="94"/>
    <s v="Experienced"/>
    <s v="Low"/>
    <n v="0.02"/>
    <s v="Unique"/>
    <x v="6"/>
  </r>
  <r>
    <n v="3101129"/>
    <s v="Nikhil"/>
    <x v="1"/>
    <x v="1"/>
    <x v="1"/>
    <x v="2"/>
    <x v="1"/>
    <d v="2026-05-31T00:00:00"/>
    <n v="430000"/>
    <n v="0"/>
    <n v="77"/>
    <s v="Fresher"/>
    <s v="Low"/>
    <n v="0.02"/>
    <s v="Unique"/>
    <x v="5"/>
  </r>
  <r>
    <n v="3101130"/>
    <s v="Divya"/>
    <x v="0"/>
    <x v="0"/>
    <x v="7"/>
    <x v="2"/>
    <x v="0"/>
    <d v="2026-06-15T00:00:00"/>
    <n v="570000"/>
    <n v="4"/>
    <n v="72"/>
    <s v="Experienced"/>
    <s v="Medium"/>
    <n v="0.02"/>
    <s v="Unique"/>
    <x v="6"/>
  </r>
  <r>
    <n v="3101131"/>
    <s v="Yamini"/>
    <x v="1"/>
    <x v="0"/>
    <x v="11"/>
    <x v="2"/>
    <x v="3"/>
    <d v="2026-05-12T00:00:00"/>
    <n v="645000"/>
    <n v="1"/>
    <n v="90"/>
    <s v="Fresher"/>
    <s v="High"/>
    <n v="0.02"/>
    <s v="Unique"/>
    <x v="5"/>
  </r>
  <r>
    <n v="3101132"/>
    <s v="Dinesh"/>
    <x v="5"/>
    <x v="1"/>
    <x v="1"/>
    <x v="0"/>
    <x v="1"/>
    <d v="2026-08-30T00:00:00"/>
    <n v="500000"/>
    <n v="4"/>
    <n v="74"/>
    <s v="Experienced"/>
    <s v="Medium"/>
    <n v="0.02"/>
    <s v="Unique"/>
    <x v="8"/>
  </r>
  <r>
    <n v="3101133"/>
    <s v="Amrutha"/>
    <x v="3"/>
    <x v="3"/>
    <x v="4"/>
    <x v="1"/>
    <x v="0"/>
    <d v="2026-05-26T00:00:00"/>
    <n v="300000"/>
    <n v="1"/>
    <n v="85"/>
    <s v="Fresher"/>
    <s v="Low"/>
    <n v="0.05"/>
    <s v="Unique"/>
    <x v="5"/>
  </r>
  <r>
    <n v="3101134"/>
    <s v="Riya"/>
    <x v="3"/>
    <x v="0"/>
    <x v="0"/>
    <x v="3"/>
    <x v="2"/>
    <d v="2026-05-14T00:00:00"/>
    <n v="460000"/>
    <n v="3"/>
    <n v="94"/>
    <s v="Mid Level"/>
    <s v="Medium"/>
    <n v="0.01"/>
    <s v="Unique"/>
    <x v="5"/>
  </r>
  <r>
    <n v="3101135"/>
    <s v="Bhavya"/>
    <x v="2"/>
    <x v="1"/>
    <x v="1"/>
    <x v="2"/>
    <x v="1"/>
    <d v="2026-05-16T00:00:00"/>
    <n v="410000"/>
    <n v="4"/>
    <n v="68"/>
    <s v="Experienced"/>
    <s v="Low"/>
    <n v="0.02"/>
    <s v="Unique"/>
    <x v="5"/>
  </r>
  <r>
    <n v="3101136"/>
    <s v="Pranav"/>
    <x v="7"/>
    <x v="2"/>
    <x v="8"/>
    <x v="0"/>
    <x v="1"/>
    <d v="2026-05-06T00:00:00"/>
    <n v="500000"/>
    <n v="3"/>
    <n v="87"/>
    <s v="Mid Level"/>
    <s v="Medium"/>
    <n v="0.02"/>
    <s v="Unique"/>
    <x v="5"/>
  </r>
  <r>
    <n v="3101137"/>
    <s v="Chaitanya"/>
    <x v="5"/>
    <x v="3"/>
    <x v="4"/>
    <x v="2"/>
    <x v="0"/>
    <d v="2026-06-14T00:00:00"/>
    <n v="340000"/>
    <n v="4"/>
    <n v="82"/>
    <s v="Experienced"/>
    <s v="Low"/>
    <n v="0.02"/>
    <s v="Unique"/>
    <x v="6"/>
  </r>
  <r>
    <n v="3101138"/>
    <s v="Varsha"/>
    <x v="7"/>
    <x v="0"/>
    <x v="11"/>
    <x v="2"/>
    <x v="1"/>
    <d v="2026-05-07T00:00:00"/>
    <n v="440000"/>
    <n v="2"/>
    <n v="76"/>
    <s v="Mid Level"/>
    <s v="Low"/>
    <n v="0.02"/>
    <s v="Unique"/>
    <x v="5"/>
  </r>
  <r>
    <n v="3101139"/>
    <s v="Gautham"/>
    <x v="3"/>
    <x v="2"/>
    <x v="8"/>
    <x v="2"/>
    <x v="2"/>
    <d v="2026-07-24T00:00:00"/>
    <n v="535000"/>
    <n v="1"/>
    <n v="88"/>
    <s v="Fresher"/>
    <s v="Medium"/>
    <n v="0.02"/>
    <s v="Unique"/>
    <x v="7"/>
  </r>
  <r>
    <n v="3101140"/>
    <s v="Dinesh"/>
    <x v="2"/>
    <x v="0"/>
    <x v="0"/>
    <x v="1"/>
    <x v="0"/>
    <d v="2026-09-07T00:00:00"/>
    <n v="510000"/>
    <n v="5"/>
    <n v="91"/>
    <s v="Experienced"/>
    <s v="Medium"/>
    <n v="0.05"/>
    <s v="Unique"/>
    <x v="4"/>
  </r>
  <r>
    <n v="3101141"/>
    <s v="Varsha"/>
    <x v="4"/>
    <x v="0"/>
    <x v="2"/>
    <x v="0"/>
    <x v="2"/>
    <d v="2026-07-02T00:00:00"/>
    <n v="660000"/>
    <n v="0"/>
    <n v="69"/>
    <s v="Fresher"/>
    <s v="High"/>
    <n v="0.02"/>
    <s v="Unique"/>
    <x v="7"/>
  </r>
  <r>
    <n v="3101142"/>
    <s v="Rakesh"/>
    <x v="6"/>
    <x v="1"/>
    <x v="6"/>
    <x v="2"/>
    <x v="1"/>
    <d v="2026-09-16T00:00:00"/>
    <n v="325000"/>
    <n v="0"/>
    <n v="95"/>
    <s v="Fresher"/>
    <s v="Low"/>
    <n v="0.02"/>
    <s v="Unique"/>
    <x v="4"/>
  </r>
  <r>
    <n v="3101143"/>
    <s v="Varsha"/>
    <x v="2"/>
    <x v="3"/>
    <x v="9"/>
    <x v="1"/>
    <x v="2"/>
    <d v="2026-07-04T00:00:00"/>
    <n v="355000"/>
    <n v="5"/>
    <n v="73"/>
    <s v="Experienced"/>
    <s v="Low"/>
    <n v="0.05"/>
    <s v="Unique"/>
    <x v="7"/>
  </r>
  <r>
    <n v="3101144"/>
    <s v="Kiran"/>
    <x v="5"/>
    <x v="0"/>
    <x v="2"/>
    <x v="0"/>
    <x v="0"/>
    <d v="2026-09-15T00:00:00"/>
    <n v="510000"/>
    <n v="2"/>
    <n v="84"/>
    <s v="Mid Level"/>
    <s v="Medium"/>
    <n v="0.02"/>
    <s v="Unique"/>
    <x v="4"/>
  </r>
  <r>
    <n v="3101145"/>
    <s v="Gokul"/>
    <x v="6"/>
    <x v="0"/>
    <x v="0"/>
    <x v="1"/>
    <x v="2"/>
    <d v="2026-06-10T00:00:00"/>
    <n v="580000"/>
    <n v="3"/>
    <n v="79"/>
    <s v="Mid Level"/>
    <s v="Medium"/>
    <n v="0.05"/>
    <s v="Unique"/>
    <x v="6"/>
  </r>
  <r>
    <n v="3101146"/>
    <s v="Aakash"/>
    <x v="5"/>
    <x v="1"/>
    <x v="6"/>
    <x v="0"/>
    <x v="0"/>
    <d v="2026-07-25T00:00:00"/>
    <n v="340000"/>
    <n v="3"/>
    <n v="71"/>
    <s v="Mid Level"/>
    <s v="Low"/>
    <n v="0.02"/>
    <s v="Unique"/>
    <x v="7"/>
  </r>
  <r>
    <n v="3101147"/>
    <s v="Akshaya"/>
    <x v="6"/>
    <x v="2"/>
    <x v="8"/>
    <x v="1"/>
    <x v="2"/>
    <d v="2026-07-18T00:00:00"/>
    <n v="520000"/>
    <n v="2"/>
    <n v="89"/>
    <s v="Mid Level"/>
    <s v="Medium"/>
    <n v="0.05"/>
    <s v="Unique"/>
    <x v="7"/>
  </r>
  <r>
    <n v="3101148"/>
    <s v="Gokul"/>
    <x v="5"/>
    <x v="0"/>
    <x v="11"/>
    <x v="3"/>
    <x v="3"/>
    <d v="2026-05-29T00:00:00"/>
    <n v="595000"/>
    <n v="4"/>
    <n v="67"/>
    <s v="Experienced"/>
    <s v="Medium"/>
    <n v="0.01"/>
    <s v="Unique"/>
    <x v="5"/>
  </r>
  <r>
    <n v="3101149"/>
    <s v="Amal"/>
    <x v="3"/>
    <x v="0"/>
    <x v="7"/>
    <x v="3"/>
    <x v="2"/>
    <d v="2026-08-14T00:00:00"/>
    <n v="605000"/>
    <n v="1"/>
    <n v="86"/>
    <s v="Fresher"/>
    <s v="High"/>
    <n v="0.01"/>
    <s v="Unique"/>
    <x v="8"/>
  </r>
  <r>
    <n v="3101150"/>
    <s v="Lakshmi"/>
    <x v="1"/>
    <x v="0"/>
    <x v="7"/>
    <x v="1"/>
    <x v="0"/>
    <d v="2026-07-27T00:00:00"/>
    <n v="740000"/>
    <n v="5"/>
    <n v="92"/>
    <s v="Experienced"/>
    <s v="High"/>
    <n v="0.05"/>
    <s v="Unique"/>
    <x v="7"/>
  </r>
  <r>
    <n v="3101151"/>
    <s v="Ashwin"/>
    <x v="3"/>
    <x v="1"/>
    <x v="6"/>
    <x v="3"/>
    <x v="3"/>
    <d v="2026-09-17T00:00:00"/>
    <n v="540000"/>
    <n v="3"/>
    <n v="69"/>
    <s v="Mid Level"/>
    <s v="Medium"/>
    <n v="0.01"/>
    <s v="Unique"/>
    <x v="4"/>
  </r>
  <r>
    <n v="3101152"/>
    <s v="Ravi"/>
    <x v="4"/>
    <x v="2"/>
    <x v="8"/>
    <x v="2"/>
    <x v="0"/>
    <d v="2026-07-19T00:00:00"/>
    <n v="615000"/>
    <n v="0"/>
    <n v="81"/>
    <s v="Fresher"/>
    <s v="High"/>
    <n v="0.02"/>
    <s v="Unique"/>
    <x v="7"/>
  </r>
  <r>
    <n v="3101153"/>
    <s v="Naveen"/>
    <x v="6"/>
    <x v="0"/>
    <x v="5"/>
    <x v="1"/>
    <x v="2"/>
    <d v="2026-06-04T00:00:00"/>
    <n v="740000"/>
    <n v="3"/>
    <n v="94"/>
    <s v="Mid Level"/>
    <s v="High"/>
    <n v="0.05"/>
    <s v="Unique"/>
    <x v="6"/>
  </r>
  <r>
    <n v="3101154"/>
    <s v="Vaishnavi"/>
    <x v="0"/>
    <x v="1"/>
    <x v="6"/>
    <x v="3"/>
    <x v="2"/>
    <d v="2026-09-11T00:00:00"/>
    <n v="495000"/>
    <n v="2"/>
    <n v="77"/>
    <s v="Mid Level"/>
    <s v="Medium"/>
    <n v="0.01"/>
    <s v="Unique"/>
    <x v="4"/>
  </r>
  <r>
    <n v="3101155"/>
    <s v="Shalini"/>
    <x v="7"/>
    <x v="0"/>
    <x v="7"/>
    <x v="3"/>
    <x v="2"/>
    <d v="2026-09-09T00:00:00"/>
    <n v="620000"/>
    <n v="2"/>
    <n v="72"/>
    <s v="Mid Level"/>
    <s v="High"/>
    <n v="0.01"/>
    <s v="Unique"/>
    <x v="4"/>
  </r>
  <r>
    <n v="3101156"/>
    <s v="Akshaya"/>
    <x v="3"/>
    <x v="0"/>
    <x v="0"/>
    <x v="1"/>
    <x v="1"/>
    <d v="2026-08-10T00:00:00"/>
    <n v="495000"/>
    <n v="4"/>
    <n v="90"/>
    <s v="Experienced"/>
    <s v="Medium"/>
    <n v="0.05"/>
    <s v="Unique"/>
    <x v="8"/>
  </r>
  <r>
    <n v="3101157"/>
    <s v="Rakesh"/>
    <x v="7"/>
    <x v="0"/>
    <x v="10"/>
    <x v="0"/>
    <x v="0"/>
    <d v="2026-06-27T00:00:00"/>
    <n v="810000"/>
    <n v="1"/>
    <n v="74"/>
    <s v="Fresher"/>
    <s v="High"/>
    <n v="0.02"/>
    <s v="Unique"/>
    <x v="6"/>
  </r>
  <r>
    <n v="3101158"/>
    <s v="Ashwin"/>
    <x v="5"/>
    <x v="0"/>
    <x v="5"/>
    <x v="1"/>
    <x v="1"/>
    <d v="2026-08-06T00:00:00"/>
    <n v="845000"/>
    <n v="0"/>
    <n v="85"/>
    <s v="Fresher"/>
    <s v="High"/>
    <n v="0.05"/>
    <s v="Unique"/>
    <x v="8"/>
  </r>
  <r>
    <n v="3101159"/>
    <s v="Bharath"/>
    <x v="1"/>
    <x v="0"/>
    <x v="2"/>
    <x v="2"/>
    <x v="1"/>
    <d v="2026-08-28T00:00:00"/>
    <n v="640000"/>
    <n v="4"/>
    <n v="94"/>
    <s v="Experienced"/>
    <s v="High"/>
    <n v="0.02"/>
    <s v="Unique"/>
    <x v="8"/>
  </r>
  <r>
    <n v="3101160"/>
    <s v="Deepa"/>
    <x v="7"/>
    <x v="0"/>
    <x v="7"/>
    <x v="3"/>
    <x v="1"/>
    <d v="2026-05-03T00:00:00"/>
    <n v="440000"/>
    <n v="0"/>
    <n v="68"/>
    <s v="Fresher"/>
    <s v="Low"/>
    <n v="0.01"/>
    <s v="Unique"/>
    <x v="5"/>
  </r>
  <r>
    <n v="3101161"/>
    <s v="Varsha"/>
    <x v="2"/>
    <x v="2"/>
    <x v="8"/>
    <x v="1"/>
    <x v="0"/>
    <d v="2026-05-30T00:00:00"/>
    <n v="635000"/>
    <n v="1"/>
    <n v="87"/>
    <s v="Fresher"/>
    <s v="High"/>
    <n v="0.05"/>
    <s v="Unique"/>
    <x v="5"/>
  </r>
  <r>
    <n v="3101162"/>
    <s v="Tejas"/>
    <x v="4"/>
    <x v="1"/>
    <x v="6"/>
    <x v="2"/>
    <x v="0"/>
    <d v="2026-07-30T00:00:00"/>
    <n v="365000"/>
    <n v="1"/>
    <n v="82"/>
    <s v="Fresher"/>
    <s v="Low"/>
    <n v="0.02"/>
    <s v="Unique"/>
    <x v="7"/>
  </r>
  <r>
    <n v="3101163"/>
    <s v="Nithin"/>
    <x v="5"/>
    <x v="0"/>
    <x v="2"/>
    <x v="1"/>
    <x v="2"/>
    <d v="2026-06-05T00:00:00"/>
    <n v="430000"/>
    <n v="0"/>
    <n v="76"/>
    <s v="Fresher"/>
    <s v="Low"/>
    <n v="0.05"/>
    <s v="Unique"/>
    <x v="6"/>
  </r>
  <r>
    <n v="3101164"/>
    <s v="Sathish"/>
    <x v="7"/>
    <x v="0"/>
    <x v="2"/>
    <x v="1"/>
    <x v="1"/>
    <d v="2026-08-25T00:00:00"/>
    <n v="640000"/>
    <n v="3"/>
    <n v="88"/>
    <s v="Mid Level"/>
    <s v="High"/>
    <n v="0.05"/>
    <s v="Unique"/>
    <x v="8"/>
  </r>
  <r>
    <n v="3101165"/>
    <s v="Deepa"/>
    <x v="0"/>
    <x v="2"/>
    <x v="3"/>
    <x v="2"/>
    <x v="1"/>
    <d v="2026-05-20T00:00:00"/>
    <n v="470000"/>
    <n v="2"/>
    <n v="91"/>
    <s v="Mid Level"/>
    <s v="Medium"/>
    <n v="0.02"/>
    <s v="Unique"/>
    <x v="5"/>
  </r>
  <r>
    <n v="3101166"/>
    <s v="Rakesh"/>
    <x v="7"/>
    <x v="0"/>
    <x v="2"/>
    <x v="3"/>
    <x v="3"/>
    <d v="2026-05-05T00:00:00"/>
    <n v="615000"/>
    <n v="1"/>
    <n v="69"/>
    <s v="Fresher"/>
    <s v="High"/>
    <n v="0.01"/>
    <s v="Unique"/>
    <x v="5"/>
  </r>
  <r>
    <n v="3101167"/>
    <s v="Ravi"/>
    <x v="7"/>
    <x v="0"/>
    <x v="2"/>
    <x v="2"/>
    <x v="1"/>
    <d v="2026-05-22T00:00:00"/>
    <n v="470000"/>
    <n v="3"/>
    <n v="95"/>
    <s v="Mid Level"/>
    <s v="Medium"/>
    <n v="0.02"/>
    <s v="Unique"/>
    <x v="5"/>
  </r>
  <r>
    <n v="3101168"/>
    <s v="Ravi"/>
    <x v="4"/>
    <x v="2"/>
    <x v="3"/>
    <x v="3"/>
    <x v="0"/>
    <d v="2026-09-14T00:00:00"/>
    <n v="465000"/>
    <n v="1"/>
    <n v="73"/>
    <s v="Fresher"/>
    <s v="Medium"/>
    <n v="0.01"/>
    <s v="Unique"/>
    <x v="4"/>
  </r>
  <r>
    <n v="3101169"/>
    <s v="Keerthana"/>
    <x v="6"/>
    <x v="0"/>
    <x v="0"/>
    <x v="3"/>
    <x v="1"/>
    <d v="2026-07-16T00:00:00"/>
    <n v="615000"/>
    <n v="3"/>
    <n v="84"/>
    <s v="Mid Level"/>
    <s v="High"/>
    <n v="0.01"/>
    <s v="Unique"/>
    <x v="7"/>
  </r>
  <r>
    <n v="3101170"/>
    <s v="Ravi"/>
    <x v="3"/>
    <x v="3"/>
    <x v="9"/>
    <x v="1"/>
    <x v="0"/>
    <d v="2026-09-12T00:00:00"/>
    <n v="430000"/>
    <n v="2"/>
    <n v="79"/>
    <s v="Mid Level"/>
    <s v="Low"/>
    <n v="0.05"/>
    <s v="Unique"/>
    <x v="4"/>
  </r>
  <r>
    <n v="3101171"/>
    <s v="Ravi"/>
    <x v="6"/>
    <x v="0"/>
    <x v="2"/>
    <x v="2"/>
    <x v="0"/>
    <d v="2026-06-22T00:00:00"/>
    <n v="635000"/>
    <n v="4"/>
    <n v="71"/>
    <s v="Experienced"/>
    <s v="High"/>
    <n v="0.02"/>
    <s v="Unique"/>
    <x v="6"/>
  </r>
  <r>
    <n v="3101172"/>
    <s v="Siddharth"/>
    <x v="1"/>
    <x v="3"/>
    <x v="4"/>
    <x v="3"/>
    <x v="1"/>
    <d v="2026-08-19T00:00:00"/>
    <n v="425000"/>
    <n v="4"/>
    <n v="89"/>
    <s v="Experienced"/>
    <s v="Low"/>
    <n v="0.01"/>
    <s v="Unique"/>
    <x v="8"/>
  </r>
  <r>
    <n v="3101173"/>
    <s v="Aditya"/>
    <x v="1"/>
    <x v="0"/>
    <x v="10"/>
    <x v="1"/>
    <x v="2"/>
    <d v="2026-08-26T00:00:00"/>
    <n v="705000"/>
    <n v="4"/>
    <n v="67"/>
    <s v="Experienced"/>
    <s v="High"/>
    <n v="0.05"/>
    <s v="Unique"/>
    <x v="8"/>
  </r>
  <r>
    <n v="3101174"/>
    <s v="Aditya"/>
    <x v="4"/>
    <x v="0"/>
    <x v="0"/>
    <x v="3"/>
    <x v="1"/>
    <d v="2026-07-31T00:00:00"/>
    <n v="630000"/>
    <n v="2"/>
    <n v="86"/>
    <s v="Mid Level"/>
    <s v="High"/>
    <n v="0.01"/>
    <s v="Unique"/>
    <x v="7"/>
  </r>
  <r>
    <n v="3101175"/>
    <s v="Surya"/>
    <x v="0"/>
    <x v="0"/>
    <x v="10"/>
    <x v="1"/>
    <x v="1"/>
    <d v="2026-05-08T00:00:00"/>
    <n v="685000"/>
    <n v="5"/>
    <n v="92"/>
    <s v="Experienced"/>
    <s v="High"/>
    <n v="0.05"/>
    <s v="Unique"/>
    <x v="5"/>
  </r>
  <r>
    <n v="3101176"/>
    <s v="Ananya"/>
    <x v="1"/>
    <x v="0"/>
    <x v="10"/>
    <x v="1"/>
    <x v="1"/>
    <d v="2026-07-18T00:00:00"/>
    <n v="660000"/>
    <n v="5"/>
    <n v="69"/>
    <s v="Experienced"/>
    <s v="High"/>
    <n v="0.05"/>
    <s v="Unique"/>
    <x v="7"/>
  </r>
  <r>
    <n v="3101177"/>
    <s v="Aakash"/>
    <x v="3"/>
    <x v="0"/>
    <x v="7"/>
    <x v="0"/>
    <x v="0"/>
    <d v="2026-06-17T00:00:00"/>
    <n v="630000"/>
    <n v="0"/>
    <n v="81"/>
    <s v="Fresher"/>
    <s v="High"/>
    <n v="0.02"/>
    <s v="Unique"/>
    <x v="6"/>
  </r>
  <r>
    <n v="3101178"/>
    <s v="Sanjana"/>
    <x v="1"/>
    <x v="3"/>
    <x v="4"/>
    <x v="0"/>
    <x v="1"/>
    <d v="2026-05-30T00:00:00"/>
    <n v="350000"/>
    <n v="3"/>
    <n v="94"/>
    <s v="Mid Level"/>
    <s v="Low"/>
    <n v="0.02"/>
    <s v="Unique"/>
    <x v="5"/>
  </r>
  <r>
    <n v="3101179"/>
    <s v="Dinesh"/>
    <x v="1"/>
    <x v="0"/>
    <x v="2"/>
    <x v="0"/>
    <x v="3"/>
    <d v="2026-08-10T00:00:00"/>
    <n v="505000"/>
    <n v="0"/>
    <n v="77"/>
    <s v="Fresher"/>
    <s v="Medium"/>
    <n v="0.02"/>
    <s v="Unique"/>
    <x v="8"/>
  </r>
  <r>
    <n v="3101180"/>
    <s v="Nithin"/>
    <x v="0"/>
    <x v="0"/>
    <x v="11"/>
    <x v="1"/>
    <x v="3"/>
    <d v="2026-09-22T00:00:00"/>
    <n v="685000"/>
    <n v="5"/>
    <n v="72"/>
    <s v="Experienced"/>
    <s v="High"/>
    <n v="0.05"/>
    <s v="Unique"/>
    <x v="4"/>
  </r>
  <r>
    <n v="3101181"/>
    <s v="Nithin"/>
    <x v="3"/>
    <x v="0"/>
    <x v="0"/>
    <x v="1"/>
    <x v="1"/>
    <d v="2026-07-10T00:00:00"/>
    <n v="550000"/>
    <n v="5"/>
    <n v="90"/>
    <s v="Experienced"/>
    <s v="Medium"/>
    <n v="0.05"/>
    <s v="Unique"/>
    <x v="7"/>
  </r>
  <r>
    <n v="3101182"/>
    <s v="Lakshmi"/>
    <x v="7"/>
    <x v="3"/>
    <x v="9"/>
    <x v="0"/>
    <x v="0"/>
    <d v="2026-09-26T00:00:00"/>
    <n v="410000"/>
    <n v="3"/>
    <n v="74"/>
    <s v="Mid Level"/>
    <s v="Low"/>
    <n v="0.02"/>
    <s v="Unique"/>
    <x v="4"/>
  </r>
  <r>
    <n v="3101183"/>
    <s v="Surya"/>
    <x v="5"/>
    <x v="3"/>
    <x v="4"/>
    <x v="2"/>
    <x v="2"/>
    <d v="2026-07-15T00:00:00"/>
    <n v="320000"/>
    <n v="0"/>
    <n v="85"/>
    <s v="Fresher"/>
    <s v="Low"/>
    <n v="0.02"/>
    <s v="Unique"/>
    <x v="7"/>
  </r>
  <r>
    <n v="3101184"/>
    <s v="Maya"/>
    <x v="3"/>
    <x v="0"/>
    <x v="11"/>
    <x v="1"/>
    <x v="1"/>
    <d v="2026-06-10T00:00:00"/>
    <n v="520000"/>
    <n v="1"/>
    <n v="94"/>
    <s v="Fresher"/>
    <s v="Medium"/>
    <n v="0.05"/>
    <s v="Unique"/>
    <x v="6"/>
  </r>
  <r>
    <n v="3101185"/>
    <s v="Kiran"/>
    <x v="6"/>
    <x v="0"/>
    <x v="0"/>
    <x v="0"/>
    <x v="0"/>
    <d v="2026-08-09T00:00:00"/>
    <n v="495000"/>
    <n v="0"/>
    <n v="68"/>
    <s v="Fresher"/>
    <s v="Medium"/>
    <n v="0.02"/>
    <s v="Duplicate"/>
    <x v="8"/>
  </r>
  <r>
    <n v="3101186"/>
    <s v="Ashwin"/>
    <x v="1"/>
    <x v="0"/>
    <x v="0"/>
    <x v="3"/>
    <x v="2"/>
    <d v="2026-05-26T00:00:00"/>
    <n v="555000"/>
    <n v="2"/>
    <n v="87"/>
    <s v="Mid Level"/>
    <s v="Medium"/>
    <n v="0.01"/>
    <s v="Unique"/>
    <x v="5"/>
  </r>
  <r>
    <n v="3101187"/>
    <s v="Pooja"/>
    <x v="3"/>
    <x v="0"/>
    <x v="10"/>
    <x v="3"/>
    <x v="0"/>
    <d v="2026-09-17T00:00:00"/>
    <n v="570000"/>
    <n v="4"/>
    <n v="82"/>
    <s v="Experienced"/>
    <s v="Medium"/>
    <n v="0.01"/>
    <s v="Unique"/>
    <x v="4"/>
  </r>
  <r>
    <n v="3101188"/>
    <s v="Bhavya"/>
    <x v="3"/>
    <x v="2"/>
    <x v="8"/>
    <x v="3"/>
    <x v="2"/>
    <d v="2026-06-07T00:00:00"/>
    <n v="425000"/>
    <n v="1"/>
    <n v="76"/>
    <s v="Fresher"/>
    <s v="Low"/>
    <n v="0.01"/>
    <s v="Unique"/>
    <x v="6"/>
  </r>
  <r>
    <n v="3101189"/>
    <s v="Nandhini"/>
    <x v="6"/>
    <x v="3"/>
    <x v="4"/>
    <x v="0"/>
    <x v="1"/>
    <d v="2026-09-30T00:00:00"/>
    <n v="430000"/>
    <n v="5"/>
    <n v="88"/>
    <s v="Experienced"/>
    <s v="Low"/>
    <n v="0.02"/>
    <s v="Unique"/>
    <x v="4"/>
  </r>
  <r>
    <n v="3101190"/>
    <s v="Vishal"/>
    <x v="3"/>
    <x v="0"/>
    <x v="7"/>
    <x v="2"/>
    <x v="3"/>
    <d v="2026-09-01T00:00:00"/>
    <n v="780000"/>
    <n v="0"/>
    <n v="91"/>
    <s v="Fresher"/>
    <s v="High"/>
    <n v="0.02"/>
    <s v="Unique"/>
    <x v="4"/>
  </r>
  <r>
    <n v="3101191"/>
    <s v="Harish"/>
    <x v="6"/>
    <x v="1"/>
    <x v="1"/>
    <x v="0"/>
    <x v="3"/>
    <d v="2026-07-30T00:00:00"/>
    <n v="385000"/>
    <n v="1"/>
    <n v="69"/>
    <s v="Fresher"/>
    <s v="Low"/>
    <n v="0.02"/>
    <s v="Unique"/>
    <x v="7"/>
  </r>
  <r>
    <n v="3101192"/>
    <s v="Sowmya"/>
    <x v="0"/>
    <x v="0"/>
    <x v="11"/>
    <x v="2"/>
    <x v="1"/>
    <d v="2026-08-11T00:00:00"/>
    <n v="450000"/>
    <n v="5"/>
    <n v="95"/>
    <s v="Experienced"/>
    <s v="Medium"/>
    <n v="0.02"/>
    <s v="Unique"/>
    <x v="8"/>
  </r>
  <r>
    <n v="3101193"/>
    <s v="Neha"/>
    <x v="6"/>
    <x v="0"/>
    <x v="2"/>
    <x v="3"/>
    <x v="3"/>
    <d v="2026-08-17T00:00:00"/>
    <n v="725000"/>
    <n v="0"/>
    <n v="73"/>
    <s v="Fresher"/>
    <s v="High"/>
    <n v="0.01"/>
    <s v="Unique"/>
    <x v="8"/>
  </r>
  <r>
    <n v="3101194"/>
    <s v="Siddharth"/>
    <x v="6"/>
    <x v="0"/>
    <x v="11"/>
    <x v="2"/>
    <x v="3"/>
    <d v="2026-05-15T00:00:00"/>
    <n v="510000"/>
    <n v="0"/>
    <n v="84"/>
    <s v="Fresher"/>
    <s v="Medium"/>
    <n v="0.02"/>
    <s v="Unique"/>
    <x v="5"/>
  </r>
  <r>
    <n v="3101195"/>
    <s v="Maya"/>
    <x v="1"/>
    <x v="0"/>
    <x v="7"/>
    <x v="2"/>
    <x v="3"/>
    <d v="2026-05-05T00:00:00"/>
    <n v="600000"/>
    <n v="0"/>
    <n v="79"/>
    <s v="Fresher"/>
    <s v="High"/>
    <n v="0.02"/>
    <s v="Unique"/>
    <x v="5"/>
  </r>
  <r>
    <n v="3101196"/>
    <s v="Naveen"/>
    <x v="0"/>
    <x v="3"/>
    <x v="4"/>
    <x v="3"/>
    <x v="0"/>
    <d v="2026-09-07T00:00:00"/>
    <n v="410000"/>
    <n v="4"/>
    <n v="71"/>
    <s v="Experienced"/>
    <s v="Low"/>
    <n v="0.01"/>
    <s v="Unique"/>
    <x v="4"/>
  </r>
  <r>
    <n v="3101197"/>
    <s v="Tarun"/>
    <x v="3"/>
    <x v="0"/>
    <x v="0"/>
    <x v="3"/>
    <x v="3"/>
    <d v="2026-09-27T00:00:00"/>
    <n v="535000"/>
    <n v="5"/>
    <n v="89"/>
    <s v="Experienced"/>
    <s v="Medium"/>
    <n v="0.01"/>
    <s v="Unique"/>
    <x v="4"/>
  </r>
  <r>
    <n v="3101198"/>
    <s v="Tejas"/>
    <x v="7"/>
    <x v="0"/>
    <x v="0"/>
    <x v="3"/>
    <x v="3"/>
    <d v="2026-06-23T00:00:00"/>
    <n v="460000"/>
    <n v="4"/>
    <n v="67"/>
    <s v="Experienced"/>
    <s v="Medium"/>
    <n v="0.01"/>
    <s v="Unique"/>
    <x v="6"/>
  </r>
  <r>
    <n v="3101199"/>
    <s v="Vignesh"/>
    <x v="7"/>
    <x v="1"/>
    <x v="1"/>
    <x v="0"/>
    <x v="2"/>
    <d v="2026-05-08T00:00:00"/>
    <n v="445000"/>
    <n v="3"/>
    <n v="86"/>
    <s v="Mid Level"/>
    <s v="Low"/>
    <n v="0.02"/>
    <s v="Unique"/>
    <x v="5"/>
  </r>
  <r>
    <n v="3101200"/>
    <s v="Ananya"/>
    <x v="0"/>
    <x v="2"/>
    <x v="8"/>
    <x v="2"/>
    <x v="3"/>
    <d v="2026-09-01T00:00:00"/>
    <n v="415000"/>
    <n v="3"/>
    <n v="92"/>
    <s v="Mid Level"/>
    <s v="Low"/>
    <n v="0.02"/>
    <s v="Unique"/>
    <x v="4"/>
  </r>
  <r>
    <n v="3101201"/>
    <s v="Vijay"/>
    <x v="1"/>
    <x v="0"/>
    <x v="11"/>
    <x v="0"/>
    <x v="1"/>
    <d v="2026-06-29T00:00:00"/>
    <n v="485000"/>
    <n v="5"/>
    <n v="69"/>
    <s v="Experienced"/>
    <s v="Medium"/>
    <n v="0.02"/>
    <s v="Unique"/>
    <x v="6"/>
  </r>
  <r>
    <n v="3101202"/>
    <s v="Riya"/>
    <x v="3"/>
    <x v="2"/>
    <x v="8"/>
    <x v="0"/>
    <x v="0"/>
    <d v="2026-09-15T00:00:00"/>
    <n v="490000"/>
    <n v="3"/>
    <n v="81"/>
    <s v="Mid Level"/>
    <s v="Medium"/>
    <n v="0.02"/>
    <s v="Unique"/>
    <x v="4"/>
  </r>
  <r>
    <n v="3101203"/>
    <s v="Manoj"/>
    <x v="7"/>
    <x v="3"/>
    <x v="4"/>
    <x v="2"/>
    <x v="3"/>
    <d v="2026-07-19T00:00:00"/>
    <n v="375000"/>
    <n v="1"/>
    <n v="94"/>
    <s v="Fresher"/>
    <s v="Low"/>
    <n v="0.02"/>
    <s v="Unique"/>
    <x v="7"/>
  </r>
  <r>
    <n v="3101204"/>
    <s v="Maya"/>
    <x v="6"/>
    <x v="2"/>
    <x v="3"/>
    <x v="1"/>
    <x v="2"/>
    <d v="2026-06-23T00:00:00"/>
    <n v="425000"/>
    <n v="0"/>
    <n v="77"/>
    <s v="Fresher"/>
    <s v="Low"/>
    <n v="0.05"/>
    <s v="Unique"/>
    <x v="6"/>
  </r>
  <r>
    <n v="3101205"/>
    <s v="Aditya"/>
    <x v="4"/>
    <x v="0"/>
    <x v="7"/>
    <x v="1"/>
    <x v="1"/>
    <d v="2026-07-23T00:00:00"/>
    <n v="550000"/>
    <n v="5"/>
    <n v="72"/>
    <s v="Experienced"/>
    <s v="Medium"/>
    <n v="0.05"/>
    <s v="Unique"/>
    <x v="7"/>
  </r>
  <r>
    <n v="3101206"/>
    <s v="Tarun"/>
    <x v="1"/>
    <x v="0"/>
    <x v="7"/>
    <x v="3"/>
    <x v="0"/>
    <d v="2026-08-28T00:00:00"/>
    <n v="540000"/>
    <n v="1"/>
    <n v="90"/>
    <s v="Fresher"/>
    <s v="Medium"/>
    <n v="0.01"/>
    <s v="Unique"/>
    <x v="8"/>
  </r>
  <r>
    <n v="3101207"/>
    <s v="Pooja"/>
    <x v="6"/>
    <x v="1"/>
    <x v="6"/>
    <x v="1"/>
    <x v="1"/>
    <d v="2026-08-27T00:00:00"/>
    <n v="405000"/>
    <n v="0"/>
    <n v="74"/>
    <s v="Fresher"/>
    <s v="Low"/>
    <n v="0.05"/>
    <s v="Unique"/>
    <x v="8"/>
  </r>
  <r>
    <n v="3101208"/>
    <s v="Sanjay"/>
    <x v="1"/>
    <x v="3"/>
    <x v="4"/>
    <x v="0"/>
    <x v="1"/>
    <d v="2026-08-29T00:00:00"/>
    <n v="300000"/>
    <n v="2"/>
    <n v="85"/>
    <s v="Mid Level"/>
    <s v="Low"/>
    <n v="0.02"/>
    <s v="Unique"/>
    <x v="8"/>
  </r>
  <r>
    <n v="3101209"/>
    <s v="Akshaya"/>
    <x v="7"/>
    <x v="3"/>
    <x v="9"/>
    <x v="3"/>
    <x v="1"/>
    <d v="2026-06-02T00:00:00"/>
    <n v="385000"/>
    <n v="5"/>
    <n v="94"/>
    <s v="Experienced"/>
    <s v="Low"/>
    <n v="0.01"/>
    <s v="Unique"/>
    <x v="6"/>
  </r>
  <r>
    <n v="3101210"/>
    <s v="Riya"/>
    <x v="1"/>
    <x v="3"/>
    <x v="9"/>
    <x v="0"/>
    <x v="1"/>
    <d v="2026-06-05T00:00:00"/>
    <n v="430000"/>
    <n v="1"/>
    <n v="68"/>
    <s v="Fresher"/>
    <s v="Low"/>
    <n v="0.02"/>
    <s v="Unique"/>
    <x v="6"/>
  </r>
  <r>
    <n v="3101211"/>
    <s v="Swathi"/>
    <x v="4"/>
    <x v="0"/>
    <x v="7"/>
    <x v="3"/>
    <x v="2"/>
    <d v="2026-07-11T00:00:00"/>
    <n v="580000"/>
    <n v="0"/>
    <n v="87"/>
    <s v="Fresher"/>
    <s v="Medium"/>
    <n v="0.01"/>
    <s v="Unique"/>
    <x v="7"/>
  </r>
  <r>
    <n v="3101212"/>
    <s v="Lakshmi"/>
    <x v="6"/>
    <x v="2"/>
    <x v="8"/>
    <x v="3"/>
    <x v="1"/>
    <d v="2026-09-12T00:00:00"/>
    <n v="615000"/>
    <n v="5"/>
    <n v="82"/>
    <s v="Experienced"/>
    <s v="High"/>
    <n v="0.01"/>
    <s v="Unique"/>
    <x v="4"/>
  </r>
  <r>
    <n v="3101213"/>
    <s v="Bhavya"/>
    <x v="2"/>
    <x v="0"/>
    <x v="11"/>
    <x v="3"/>
    <x v="1"/>
    <d v="2026-06-17T00:00:00"/>
    <n v="445000"/>
    <n v="3"/>
    <n v="76"/>
    <s v="Mid Level"/>
    <s v="Low"/>
    <n v="0.01"/>
    <s v="Unique"/>
    <x v="6"/>
  </r>
  <r>
    <n v="3101214"/>
    <s v="Yamini"/>
    <x v="7"/>
    <x v="1"/>
    <x v="1"/>
    <x v="0"/>
    <x v="2"/>
    <d v="2026-05-03T00:00:00"/>
    <n v="315000"/>
    <n v="0"/>
    <n v="88"/>
    <s v="Fresher"/>
    <s v="Low"/>
    <n v="0.02"/>
    <s v="Unique"/>
    <x v="5"/>
  </r>
  <r>
    <n v="3101215"/>
    <s v="Akash"/>
    <x v="0"/>
    <x v="3"/>
    <x v="4"/>
    <x v="3"/>
    <x v="2"/>
    <d v="2026-05-07T00:00:00"/>
    <n v="435000"/>
    <n v="0"/>
    <n v="91"/>
    <s v="Fresher"/>
    <s v="Low"/>
    <n v="0.01"/>
    <s v="Unique"/>
    <x v="5"/>
  </r>
  <r>
    <n v="3101216"/>
    <s v="Ananya"/>
    <x v="0"/>
    <x v="1"/>
    <x v="6"/>
    <x v="0"/>
    <x v="1"/>
    <d v="2026-05-16T00:00:00"/>
    <n v="510000"/>
    <n v="1"/>
    <n v="69"/>
    <s v="Fresher"/>
    <s v="Medium"/>
    <n v="0.02"/>
    <s v="Unique"/>
    <x v="5"/>
  </r>
  <r>
    <n v="3101217"/>
    <s v="Jeeva"/>
    <x v="5"/>
    <x v="0"/>
    <x v="7"/>
    <x v="2"/>
    <x v="0"/>
    <d v="2026-08-26T00:00:00"/>
    <n v="525000"/>
    <n v="0"/>
    <n v="95"/>
    <s v="Fresher"/>
    <s v="Medium"/>
    <n v="0.02"/>
    <s v="Unique"/>
    <x v="8"/>
  </r>
  <r>
    <n v="3101218"/>
    <s v="Amrutha"/>
    <x v="6"/>
    <x v="1"/>
    <x v="1"/>
    <x v="1"/>
    <x v="1"/>
    <d v="2026-09-15T00:00:00"/>
    <n v="330000"/>
    <n v="5"/>
    <n v="73"/>
    <s v="Experienced"/>
    <s v="Low"/>
    <n v="0.05"/>
    <s v="Unique"/>
    <x v="4"/>
  </r>
  <r>
    <n v="3101219"/>
    <s v="Keerthana"/>
    <x v="7"/>
    <x v="0"/>
    <x v="2"/>
    <x v="0"/>
    <x v="1"/>
    <d v="2026-07-03T00:00:00"/>
    <n v="470000"/>
    <n v="2"/>
    <n v="84"/>
    <s v="Mid Level"/>
    <s v="Medium"/>
    <n v="0.02"/>
    <s v="Unique"/>
    <x v="7"/>
  </r>
  <r>
    <n v="3101220"/>
    <s v="Bharath"/>
    <x v="0"/>
    <x v="0"/>
    <x v="5"/>
    <x v="0"/>
    <x v="1"/>
    <d v="2026-07-03T00:00:00"/>
    <n v="530000"/>
    <n v="0"/>
    <n v="79"/>
    <s v="Fresher"/>
    <s v="Medium"/>
    <n v="0.02"/>
    <s v="Unique"/>
    <x v="7"/>
  </r>
  <r>
    <n v="3101221"/>
    <s v="Shreya"/>
    <x v="0"/>
    <x v="3"/>
    <x v="4"/>
    <x v="2"/>
    <x v="0"/>
    <d v="2026-05-04T00:00:00"/>
    <n v="330000"/>
    <n v="2"/>
    <n v="71"/>
    <s v="Mid Level"/>
    <s v="Low"/>
    <n v="0.02"/>
    <s v="Unique"/>
    <x v="5"/>
  </r>
  <r>
    <n v="3101222"/>
    <s v="Akshaya"/>
    <x v="3"/>
    <x v="2"/>
    <x v="8"/>
    <x v="0"/>
    <x v="3"/>
    <d v="2026-09-06T00:00:00"/>
    <n v="485000"/>
    <n v="0"/>
    <n v="89"/>
    <s v="Fresher"/>
    <s v="Medium"/>
    <n v="0.02"/>
    <s v="Unique"/>
    <x v="4"/>
  </r>
  <r>
    <n v="3101223"/>
    <s v="Vignesh"/>
    <x v="2"/>
    <x v="1"/>
    <x v="6"/>
    <x v="2"/>
    <x v="3"/>
    <d v="2026-05-23T00:00:00"/>
    <n v="450000"/>
    <n v="1"/>
    <n v="67"/>
    <s v="Fresher"/>
    <s v="Medium"/>
    <n v="0.02"/>
    <s v="Unique"/>
    <x v="5"/>
  </r>
  <r>
    <n v="3101224"/>
    <s v="Nithin"/>
    <x v="0"/>
    <x v="1"/>
    <x v="1"/>
    <x v="0"/>
    <x v="2"/>
    <d v="2026-08-26T00:00:00"/>
    <n v="305000"/>
    <n v="3"/>
    <n v="86"/>
    <s v="Mid Level"/>
    <s v="Low"/>
    <n v="0.02"/>
    <s v="Unique"/>
    <x v="8"/>
  </r>
  <r>
    <n v="3101225"/>
    <s v="Varsha"/>
    <x v="5"/>
    <x v="1"/>
    <x v="6"/>
    <x v="2"/>
    <x v="2"/>
    <d v="2026-06-15T00:00:00"/>
    <n v="510000"/>
    <n v="1"/>
    <n v="92"/>
    <s v="Fresher"/>
    <s v="Medium"/>
    <n v="0.02"/>
    <s v="Unique"/>
    <x v="6"/>
  </r>
  <r>
    <n v="3101226"/>
    <s v="Arjun"/>
    <x v="3"/>
    <x v="0"/>
    <x v="7"/>
    <x v="1"/>
    <x v="0"/>
    <d v="2026-06-04T00:00:00"/>
    <n v="460000"/>
    <n v="3"/>
    <n v="69"/>
    <s v="Mid Level"/>
    <s v="Medium"/>
    <n v="0.05"/>
    <s v="Unique"/>
    <x v="6"/>
  </r>
  <r>
    <n v="3101227"/>
    <s v="Keerthana"/>
    <x v="1"/>
    <x v="0"/>
    <x v="10"/>
    <x v="0"/>
    <x v="0"/>
    <d v="2026-09-29T00:00:00"/>
    <n v="880000"/>
    <n v="4"/>
    <n v="81"/>
    <s v="Experienced"/>
    <s v="High"/>
    <n v="0.02"/>
    <s v="Unique"/>
    <x v="4"/>
  </r>
  <r>
    <n v="3101228"/>
    <s v="Dhanush"/>
    <x v="6"/>
    <x v="2"/>
    <x v="8"/>
    <x v="0"/>
    <x v="2"/>
    <d v="2026-08-31T00:00:00"/>
    <n v="480000"/>
    <n v="2"/>
    <n v="94"/>
    <s v="Mid Level"/>
    <s v="Medium"/>
    <n v="0.02"/>
    <s v="Unique"/>
    <x v="8"/>
  </r>
  <r>
    <n v="3101229"/>
    <s v="Ravi"/>
    <x v="4"/>
    <x v="0"/>
    <x v="0"/>
    <x v="1"/>
    <x v="1"/>
    <d v="2026-06-30T00:00:00"/>
    <n v="410000"/>
    <n v="2"/>
    <n v="77"/>
    <s v="Mid Level"/>
    <s v="Low"/>
    <n v="0.05"/>
    <s v="Unique"/>
    <x v="6"/>
  </r>
  <r>
    <n v="3101230"/>
    <s v="Ashwin"/>
    <x v="5"/>
    <x v="2"/>
    <x v="3"/>
    <x v="2"/>
    <x v="3"/>
    <d v="2026-07-23T00:00:00"/>
    <n v="445000"/>
    <n v="4"/>
    <n v="72"/>
    <s v="Experienced"/>
    <s v="Low"/>
    <n v="0.02"/>
    <s v="Unique"/>
    <x v="7"/>
  </r>
  <r>
    <n v="3101231"/>
    <s v="Naveen"/>
    <x v="6"/>
    <x v="1"/>
    <x v="1"/>
    <x v="0"/>
    <x v="0"/>
    <d v="2026-06-02T00:00:00"/>
    <n v="350000"/>
    <n v="3"/>
    <n v="90"/>
    <s v="Mid Level"/>
    <s v="Low"/>
    <n v="0.02"/>
    <s v="Unique"/>
    <x v="6"/>
  </r>
  <r>
    <n v="3101232"/>
    <s v="Aditya"/>
    <x v="6"/>
    <x v="0"/>
    <x v="7"/>
    <x v="1"/>
    <x v="1"/>
    <d v="2026-06-10T00:00:00"/>
    <n v="505000"/>
    <n v="4"/>
    <n v="74"/>
    <s v="Experienced"/>
    <s v="Medium"/>
    <n v="0.05"/>
    <s v="Unique"/>
    <x v="6"/>
  </r>
  <r>
    <n v="3101233"/>
    <s v="Amal"/>
    <x v="2"/>
    <x v="0"/>
    <x v="0"/>
    <x v="2"/>
    <x v="2"/>
    <d v="2026-07-21T00:00:00"/>
    <n v="580000"/>
    <n v="1"/>
    <n v="85"/>
    <s v="Fresher"/>
    <s v="Medium"/>
    <n v="0.02"/>
    <s v="Unique"/>
    <x v="7"/>
  </r>
  <r>
    <n v="3101234"/>
    <s v="Jeeva"/>
    <x v="0"/>
    <x v="3"/>
    <x v="9"/>
    <x v="3"/>
    <x v="0"/>
    <d v="2026-06-13T00:00:00"/>
    <n v="315000"/>
    <n v="4"/>
    <n v="94"/>
    <s v="Experienced"/>
    <s v="Low"/>
    <n v="0.01"/>
    <s v="Unique"/>
    <x v="6"/>
  </r>
  <r>
    <n v="3101235"/>
    <s v="Sathish"/>
    <x v="0"/>
    <x v="3"/>
    <x v="4"/>
    <x v="3"/>
    <x v="0"/>
    <d v="2026-05-18T00:00:00"/>
    <n v="315000"/>
    <n v="5"/>
    <n v="68"/>
    <s v="Experienced"/>
    <s v="Low"/>
    <n v="0.01"/>
    <s v="Unique"/>
    <x v="5"/>
  </r>
  <r>
    <n v="3101236"/>
    <s v="Reshma"/>
    <x v="0"/>
    <x v="0"/>
    <x v="11"/>
    <x v="0"/>
    <x v="1"/>
    <d v="2026-08-29T00:00:00"/>
    <n v="435000"/>
    <n v="4"/>
    <n v="87"/>
    <s v="Experienced"/>
    <s v="Low"/>
    <n v="0.02"/>
    <s v="Unique"/>
    <x v="8"/>
  </r>
  <r>
    <n v="3101237"/>
    <s v="Dhanush"/>
    <x v="3"/>
    <x v="0"/>
    <x v="7"/>
    <x v="2"/>
    <x v="1"/>
    <d v="2026-06-17T00:00:00"/>
    <n v="775000"/>
    <n v="3"/>
    <n v="82"/>
    <s v="Mid Level"/>
    <s v="High"/>
    <n v="0.02"/>
    <s v="Unique"/>
    <x v="6"/>
  </r>
  <r>
    <n v="3101238"/>
    <s v="Vishal"/>
    <x v="7"/>
    <x v="3"/>
    <x v="9"/>
    <x v="2"/>
    <x v="3"/>
    <d v="2026-08-31T00:00:00"/>
    <n v="430000"/>
    <n v="4"/>
    <n v="76"/>
    <s v="Experienced"/>
    <s v="Low"/>
    <n v="0.02"/>
    <s v="Unique"/>
    <x v="8"/>
  </r>
  <r>
    <n v="3101239"/>
    <s v="Harish"/>
    <x v="5"/>
    <x v="2"/>
    <x v="3"/>
    <x v="0"/>
    <x v="2"/>
    <d v="2026-06-06T00:00:00"/>
    <n v="485000"/>
    <n v="0"/>
    <n v="88"/>
    <s v="Fresher"/>
    <s v="Medium"/>
    <n v="0.02"/>
    <s v="Unique"/>
    <x v="6"/>
  </r>
  <r>
    <n v="3101240"/>
    <s v="Divya"/>
    <x v="1"/>
    <x v="0"/>
    <x v="5"/>
    <x v="0"/>
    <x v="0"/>
    <d v="2026-07-30T00:00:00"/>
    <n v="535000"/>
    <n v="3"/>
    <n v="91"/>
    <s v="Mid Level"/>
    <s v="Medium"/>
    <n v="0.02"/>
    <s v="Unique"/>
    <x v="7"/>
  </r>
  <r>
    <n v="3101241"/>
    <s v="Sanjana"/>
    <x v="0"/>
    <x v="0"/>
    <x v="0"/>
    <x v="2"/>
    <x v="0"/>
    <d v="2026-09-19T00:00:00"/>
    <n v="620000"/>
    <n v="3"/>
    <n v="69"/>
    <s v="Mid Level"/>
    <s v="High"/>
    <n v="0.02"/>
    <s v="Unique"/>
    <x v="4"/>
  </r>
  <r>
    <n v="3101242"/>
    <s v="Ashwin"/>
    <x v="4"/>
    <x v="0"/>
    <x v="7"/>
    <x v="3"/>
    <x v="0"/>
    <d v="2026-09-05T00:00:00"/>
    <n v="650000"/>
    <n v="2"/>
    <n v="95"/>
    <s v="Mid Level"/>
    <s v="High"/>
    <n v="0.01"/>
    <s v="Unique"/>
    <x v="4"/>
  </r>
  <r>
    <n v="3101243"/>
    <s v="Siddharth"/>
    <x v="4"/>
    <x v="0"/>
    <x v="0"/>
    <x v="0"/>
    <x v="0"/>
    <d v="2026-08-03T00:00:00"/>
    <n v="395000"/>
    <n v="0"/>
    <n v="73"/>
    <s v="Fresher"/>
    <s v="Low"/>
    <n v="0.02"/>
    <s v="Unique"/>
    <x v="8"/>
  </r>
  <r>
    <n v="3101244"/>
    <s v="Ananya"/>
    <x v="7"/>
    <x v="0"/>
    <x v="7"/>
    <x v="1"/>
    <x v="3"/>
    <d v="2026-09-01T00:00:00"/>
    <n v="475000"/>
    <n v="0"/>
    <n v="84"/>
    <s v="Fresher"/>
    <s v="Medium"/>
    <n v="0.05"/>
    <s v="Unique"/>
    <x v="4"/>
  </r>
  <r>
    <n v="3101245"/>
    <s v="Lakshmi"/>
    <x v="6"/>
    <x v="0"/>
    <x v="7"/>
    <x v="2"/>
    <x v="2"/>
    <d v="2026-05-21T00:00:00"/>
    <n v="615000"/>
    <n v="3"/>
    <n v="79"/>
    <s v="Mid Level"/>
    <s v="High"/>
    <n v="0.02"/>
    <s v="Unique"/>
    <x v="5"/>
  </r>
  <r>
    <n v="3101246"/>
    <s v="Vishal"/>
    <x v="0"/>
    <x v="1"/>
    <x v="6"/>
    <x v="1"/>
    <x v="3"/>
    <d v="2026-05-07T00:00:00"/>
    <n v="420000"/>
    <n v="0"/>
    <n v="71"/>
    <s v="Fresher"/>
    <s v="Low"/>
    <n v="0.05"/>
    <s v="Unique"/>
    <x v="5"/>
  </r>
  <r>
    <n v="3101247"/>
    <s v="Rani"/>
    <x v="3"/>
    <x v="0"/>
    <x v="2"/>
    <x v="1"/>
    <x v="0"/>
    <d v="2026-06-21T00:00:00"/>
    <n v="435000"/>
    <n v="5"/>
    <n v="89"/>
    <s v="Experienced"/>
    <s v="Low"/>
    <n v="0.05"/>
    <s v="Unique"/>
    <x v="6"/>
  </r>
  <r>
    <n v="3101248"/>
    <s v="Isha"/>
    <x v="2"/>
    <x v="0"/>
    <x v="10"/>
    <x v="0"/>
    <x v="0"/>
    <d v="2026-08-01T00:00:00"/>
    <n v="500000"/>
    <n v="1"/>
    <n v="67"/>
    <s v="Fresher"/>
    <s v="Medium"/>
    <n v="0.02"/>
    <s v="Unique"/>
    <x v="8"/>
  </r>
  <r>
    <n v="3101249"/>
    <s v="Yamini"/>
    <x v="1"/>
    <x v="0"/>
    <x v="2"/>
    <x v="3"/>
    <x v="1"/>
    <d v="2026-06-07T00:00:00"/>
    <n v="580000"/>
    <n v="4"/>
    <n v="86"/>
    <s v="Experienced"/>
    <s v="Medium"/>
    <n v="0.01"/>
    <s v="Unique"/>
    <x v="6"/>
  </r>
  <r>
    <n v="3101250"/>
    <s v="Dinesh"/>
    <x v="3"/>
    <x v="0"/>
    <x v="11"/>
    <x v="0"/>
    <x v="2"/>
    <d v="2026-09-15T00:00:00"/>
    <n v="675000"/>
    <n v="1"/>
    <n v="92"/>
    <s v="Fresher"/>
    <s v="High"/>
    <n v="0.02"/>
    <s v="Unique"/>
    <x v="4"/>
  </r>
  <r>
    <n v="3101251"/>
    <s v="Nikhil"/>
    <x v="7"/>
    <x v="3"/>
    <x v="9"/>
    <x v="0"/>
    <x v="3"/>
    <d v="2026-08-06T00:00:00"/>
    <n v="395000"/>
    <n v="1"/>
    <n v="69"/>
    <s v="Fresher"/>
    <s v="Low"/>
    <n v="0.02"/>
    <s v="Unique"/>
    <x v="8"/>
  </r>
  <r>
    <n v="3101252"/>
    <s v="Dinesh"/>
    <x v="2"/>
    <x v="0"/>
    <x v="5"/>
    <x v="2"/>
    <x v="3"/>
    <d v="2026-09-13T00:00:00"/>
    <n v="740000"/>
    <n v="5"/>
    <n v="81"/>
    <s v="Experienced"/>
    <s v="High"/>
    <n v="0.02"/>
    <s v="Unique"/>
    <x v="4"/>
  </r>
  <r>
    <n v="3101253"/>
    <s v="Neha"/>
    <x v="5"/>
    <x v="1"/>
    <x v="1"/>
    <x v="1"/>
    <x v="1"/>
    <d v="2026-05-14T00:00:00"/>
    <n v="300000"/>
    <n v="2"/>
    <n v="94"/>
    <s v="Mid Level"/>
    <s v="Low"/>
    <n v="0.05"/>
    <s v="Unique"/>
    <x v="5"/>
  </r>
  <r>
    <n v="3101254"/>
    <s v="Vishal"/>
    <x v="6"/>
    <x v="0"/>
    <x v="5"/>
    <x v="3"/>
    <x v="3"/>
    <d v="2026-09-13T00:00:00"/>
    <n v="705000"/>
    <n v="5"/>
    <n v="77"/>
    <s v="Experienced"/>
    <s v="High"/>
    <n v="0.01"/>
    <s v="Unique"/>
    <x v="4"/>
  </r>
  <r>
    <n v="3101255"/>
    <s v="Sachin"/>
    <x v="2"/>
    <x v="0"/>
    <x v="11"/>
    <x v="2"/>
    <x v="2"/>
    <d v="2026-08-21T00:00:00"/>
    <n v="685000"/>
    <n v="2"/>
    <n v="72"/>
    <s v="Mid Level"/>
    <s v="High"/>
    <n v="0.02"/>
    <s v="Unique"/>
    <x v="8"/>
  </r>
  <r>
    <n v="3101256"/>
    <s v="Bhavya"/>
    <x v="2"/>
    <x v="1"/>
    <x v="6"/>
    <x v="1"/>
    <x v="1"/>
    <d v="2026-08-24T00:00:00"/>
    <n v="445000"/>
    <n v="3"/>
    <n v="90"/>
    <s v="Mid Level"/>
    <s v="Low"/>
    <n v="0.05"/>
    <s v="Unique"/>
    <x v="8"/>
  </r>
  <r>
    <n v="3101257"/>
    <s v="Anand"/>
    <x v="6"/>
    <x v="3"/>
    <x v="9"/>
    <x v="1"/>
    <x v="0"/>
    <d v="2026-06-30T00:00:00"/>
    <n v="395000"/>
    <n v="3"/>
    <n v="74"/>
    <s v="Mid Level"/>
    <s v="Low"/>
    <n v="0.05"/>
    <s v="Unique"/>
    <x v="6"/>
  </r>
  <r>
    <n v="3101258"/>
    <s v="Ananya"/>
    <x v="4"/>
    <x v="0"/>
    <x v="10"/>
    <x v="0"/>
    <x v="1"/>
    <d v="2026-08-11T00:00:00"/>
    <n v="790000"/>
    <n v="2"/>
    <n v="85"/>
    <s v="Mid Level"/>
    <s v="High"/>
    <n v="0.02"/>
    <s v="Unique"/>
    <x v="8"/>
  </r>
  <r>
    <n v="3101259"/>
    <s v="Aishwarya"/>
    <x v="7"/>
    <x v="0"/>
    <x v="0"/>
    <x v="3"/>
    <x v="1"/>
    <d v="2026-06-28T00:00:00"/>
    <n v="445000"/>
    <n v="1"/>
    <n v="94"/>
    <s v="Fresher"/>
    <s v="Low"/>
    <n v="0.01"/>
    <s v="Unique"/>
    <x v="6"/>
  </r>
  <r>
    <n v="3101260"/>
    <s v="Sathish"/>
    <x v="2"/>
    <x v="2"/>
    <x v="3"/>
    <x v="1"/>
    <x v="1"/>
    <d v="2026-05-05T00:00:00"/>
    <n v="490000"/>
    <n v="4"/>
    <n v="68"/>
    <s v="Experienced"/>
    <s v="Medium"/>
    <n v="0.05"/>
    <s v="Unique"/>
    <x v="5"/>
  </r>
  <r>
    <n v="3101261"/>
    <s v="Divya"/>
    <x v="6"/>
    <x v="0"/>
    <x v="11"/>
    <x v="3"/>
    <x v="1"/>
    <d v="2026-07-20T00:00:00"/>
    <n v="700000"/>
    <n v="0"/>
    <n v="87"/>
    <s v="Fresher"/>
    <s v="High"/>
    <n v="0.01"/>
    <s v="Unique"/>
    <x v="7"/>
  </r>
  <r>
    <n v="3101262"/>
    <s v="Rakesh"/>
    <x v="5"/>
    <x v="0"/>
    <x v="5"/>
    <x v="0"/>
    <x v="1"/>
    <d v="2026-09-18T00:00:00"/>
    <n v="580000"/>
    <n v="1"/>
    <n v="82"/>
    <s v="Fresher"/>
    <s v="Medium"/>
    <n v="0.02"/>
    <s v="Unique"/>
    <x v="4"/>
  </r>
  <r>
    <n v="3101263"/>
    <s v="Keerthana"/>
    <x v="7"/>
    <x v="3"/>
    <x v="4"/>
    <x v="0"/>
    <x v="1"/>
    <d v="2026-08-10T00:00:00"/>
    <n v="400000"/>
    <n v="4"/>
    <n v="76"/>
    <s v="Experienced"/>
    <s v="Low"/>
    <n v="0.02"/>
    <s v="Unique"/>
    <x v="8"/>
  </r>
  <r>
    <n v="3101264"/>
    <s v="Vijay"/>
    <x v="1"/>
    <x v="2"/>
    <x v="3"/>
    <x v="3"/>
    <x v="2"/>
    <d v="2026-09-07T00:00:00"/>
    <n v="465000"/>
    <n v="4"/>
    <n v="88"/>
    <s v="Experienced"/>
    <s v="Medium"/>
    <n v="0.01"/>
    <s v="Unique"/>
    <x v="4"/>
  </r>
  <r>
    <n v="3101265"/>
    <s v="Manoj"/>
    <x v="0"/>
    <x v="3"/>
    <x v="4"/>
    <x v="2"/>
    <x v="2"/>
    <d v="2026-06-15T00:00:00"/>
    <n v="290000"/>
    <n v="1"/>
    <n v="91"/>
    <s v="Fresher"/>
    <s v="Low"/>
    <n v="0.02"/>
    <s v="Unique"/>
    <x v="6"/>
  </r>
  <r>
    <n v="3101266"/>
    <s v="Nithin"/>
    <x v="7"/>
    <x v="1"/>
    <x v="6"/>
    <x v="3"/>
    <x v="1"/>
    <d v="2026-09-07T00:00:00"/>
    <n v="355000"/>
    <n v="0"/>
    <n v="69"/>
    <s v="Fresher"/>
    <s v="Low"/>
    <n v="0.01"/>
    <s v="Unique"/>
    <x v="4"/>
  </r>
  <r>
    <n v="3101267"/>
    <s v="Aakash"/>
    <x v="0"/>
    <x v="1"/>
    <x v="6"/>
    <x v="1"/>
    <x v="1"/>
    <d v="2026-05-08T00:00:00"/>
    <n v="375000"/>
    <n v="0"/>
    <n v="95"/>
    <s v="Fresher"/>
    <s v="Low"/>
    <n v="0.05"/>
    <s v="Unique"/>
    <x v="5"/>
  </r>
  <r>
    <n v="3101268"/>
    <s v="Gautham"/>
    <x v="2"/>
    <x v="0"/>
    <x v="0"/>
    <x v="1"/>
    <x v="0"/>
    <d v="2026-05-25T00:00:00"/>
    <n v="635000"/>
    <n v="5"/>
    <n v="73"/>
    <s v="Experienced"/>
    <s v="High"/>
    <n v="0.05"/>
    <s v="Unique"/>
    <x v="5"/>
  </r>
  <r>
    <n v="3101269"/>
    <s v="Madhavan"/>
    <x v="2"/>
    <x v="1"/>
    <x v="6"/>
    <x v="3"/>
    <x v="1"/>
    <d v="2026-09-07T00:00:00"/>
    <n v="365000"/>
    <n v="4"/>
    <n v="84"/>
    <s v="Experienced"/>
    <s v="Low"/>
    <n v="0.01"/>
    <s v="Unique"/>
    <x v="4"/>
  </r>
  <r>
    <n v="3101270"/>
    <s v="Ananya"/>
    <x v="7"/>
    <x v="3"/>
    <x v="9"/>
    <x v="2"/>
    <x v="1"/>
    <d v="2026-07-10T00:00:00"/>
    <n v="290000"/>
    <n v="1"/>
    <n v="79"/>
    <s v="Fresher"/>
    <s v="Low"/>
    <n v="0.02"/>
    <s v="Unique"/>
    <x v="7"/>
  </r>
  <r>
    <n v="3101271"/>
    <s v="Sathish"/>
    <x v="5"/>
    <x v="0"/>
    <x v="11"/>
    <x v="1"/>
    <x v="3"/>
    <d v="2026-08-09T00:00:00"/>
    <n v="485000"/>
    <n v="2"/>
    <n v="71"/>
    <s v="Mid Level"/>
    <s v="Medium"/>
    <n v="0.05"/>
    <s v="Unique"/>
    <x v="8"/>
  </r>
  <r>
    <n v="3101272"/>
    <s v="Lakshmi"/>
    <x v="3"/>
    <x v="0"/>
    <x v="2"/>
    <x v="1"/>
    <x v="2"/>
    <d v="2026-08-23T00:00:00"/>
    <n v="520000"/>
    <n v="3"/>
    <n v="89"/>
    <s v="Mid Level"/>
    <s v="Medium"/>
    <n v="0.05"/>
    <s v="Duplicate"/>
    <x v="8"/>
  </r>
  <r>
    <n v="3101273"/>
    <s v="Bharath"/>
    <x v="6"/>
    <x v="0"/>
    <x v="2"/>
    <x v="3"/>
    <x v="3"/>
    <d v="2026-06-27T00:00:00"/>
    <n v="610000"/>
    <n v="2"/>
    <n v="67"/>
    <s v="Mid Level"/>
    <s v="High"/>
    <n v="0.01"/>
    <s v="Unique"/>
    <x v="6"/>
  </r>
  <r>
    <n v="3101274"/>
    <s v="Nithin"/>
    <x v="7"/>
    <x v="2"/>
    <x v="8"/>
    <x v="2"/>
    <x v="2"/>
    <d v="2026-06-16T00:00:00"/>
    <n v="550000"/>
    <n v="0"/>
    <n v="86"/>
    <s v="Fresher"/>
    <s v="Medium"/>
    <n v="0.02"/>
    <s v="Unique"/>
    <x v="6"/>
  </r>
  <r>
    <n v="3101275"/>
    <s v="Amrutha"/>
    <x v="3"/>
    <x v="0"/>
    <x v="7"/>
    <x v="2"/>
    <x v="0"/>
    <d v="2026-08-21T00:00:00"/>
    <n v="650000"/>
    <n v="5"/>
    <n v="92"/>
    <s v="Experienced"/>
    <s v="High"/>
    <n v="0.02"/>
    <s v="Unique"/>
    <x v="8"/>
  </r>
  <r>
    <n v="3101276"/>
    <s v="Keerthana"/>
    <x v="2"/>
    <x v="0"/>
    <x v="5"/>
    <x v="1"/>
    <x v="3"/>
    <d v="2026-06-28T00:00:00"/>
    <n v="620000"/>
    <n v="4"/>
    <n v="69"/>
    <s v="Experienced"/>
    <s v="High"/>
    <n v="0.05"/>
    <s v="Unique"/>
    <x v="6"/>
  </r>
  <r>
    <n v="3101277"/>
    <s v="Farhan"/>
    <x v="2"/>
    <x v="1"/>
    <x v="6"/>
    <x v="3"/>
    <x v="2"/>
    <d v="2026-09-05T00:00:00"/>
    <n v="435000"/>
    <n v="0"/>
    <n v="81"/>
    <s v="Fresher"/>
    <s v="Low"/>
    <n v="0.01"/>
    <s v="Unique"/>
    <x v="4"/>
  </r>
  <r>
    <n v="3101278"/>
    <s v="Amal"/>
    <x v="2"/>
    <x v="3"/>
    <x v="4"/>
    <x v="3"/>
    <x v="0"/>
    <d v="2026-06-18T00:00:00"/>
    <n v="435000"/>
    <n v="0"/>
    <n v="94"/>
    <s v="Fresher"/>
    <s v="Low"/>
    <n v="0.01"/>
    <s v="Unique"/>
    <x v="6"/>
  </r>
  <r>
    <n v="3101279"/>
    <s v="Sanjay"/>
    <x v="2"/>
    <x v="0"/>
    <x v="10"/>
    <x v="1"/>
    <x v="3"/>
    <d v="2026-09-06T00:00:00"/>
    <n v="820000"/>
    <n v="4"/>
    <n v="77"/>
    <s v="Experienced"/>
    <s v="High"/>
    <n v="0.05"/>
    <s v="Unique"/>
    <x v="4"/>
  </r>
  <r>
    <n v="3101280"/>
    <s v="Nandhini"/>
    <x v="5"/>
    <x v="0"/>
    <x v="2"/>
    <x v="1"/>
    <x v="2"/>
    <d v="2026-06-27T00:00:00"/>
    <n v="625000"/>
    <n v="2"/>
    <n v="72"/>
    <s v="Mid Level"/>
    <s v="High"/>
    <n v="0.05"/>
    <s v="Unique"/>
    <x v="6"/>
  </r>
  <r>
    <n v="3101281"/>
    <s v="Jeeva"/>
    <x v="7"/>
    <x v="0"/>
    <x v="0"/>
    <x v="1"/>
    <x v="3"/>
    <d v="2026-07-08T00:00:00"/>
    <n v="380000"/>
    <n v="2"/>
    <n v="90"/>
    <s v="Mid Level"/>
    <s v="Low"/>
    <n v="0.05"/>
    <s v="Unique"/>
    <x v="7"/>
  </r>
  <r>
    <n v="3101282"/>
    <s v="Bhavya"/>
    <x v="1"/>
    <x v="0"/>
    <x v="11"/>
    <x v="3"/>
    <x v="2"/>
    <d v="2026-07-15T00:00:00"/>
    <n v="430000"/>
    <n v="3"/>
    <n v="74"/>
    <s v="Mid Level"/>
    <s v="Low"/>
    <n v="0.01"/>
    <s v="Unique"/>
    <x v="7"/>
  </r>
  <r>
    <n v="3101283"/>
    <s v="Maya"/>
    <x v="4"/>
    <x v="3"/>
    <x v="4"/>
    <x v="3"/>
    <x v="1"/>
    <d v="2026-05-14T00:00:00"/>
    <n v="425000"/>
    <n v="0"/>
    <n v="85"/>
    <s v="Fresher"/>
    <s v="Low"/>
    <n v="0.01"/>
    <s v="Unique"/>
    <x v="5"/>
  </r>
  <r>
    <n v="3101284"/>
    <s v="Rekha"/>
    <x v="4"/>
    <x v="0"/>
    <x v="2"/>
    <x v="3"/>
    <x v="2"/>
    <d v="2026-05-03T00:00:00"/>
    <n v="550000"/>
    <n v="0"/>
    <n v="94"/>
    <s v="Fresher"/>
    <s v="Medium"/>
    <n v="0.01"/>
    <s v="Unique"/>
    <x v="5"/>
  </r>
  <r>
    <n v="3101285"/>
    <s v="Preethi"/>
    <x v="1"/>
    <x v="0"/>
    <x v="10"/>
    <x v="1"/>
    <x v="0"/>
    <d v="2026-05-10T00:00:00"/>
    <n v="625000"/>
    <n v="4"/>
    <n v="68"/>
    <s v="Experienced"/>
    <s v="High"/>
    <n v="0.05"/>
    <s v="Unique"/>
    <x v="5"/>
  </r>
  <r>
    <n v="3101286"/>
    <s v="Sathish"/>
    <x v="1"/>
    <x v="1"/>
    <x v="6"/>
    <x v="3"/>
    <x v="3"/>
    <d v="2026-08-18T00:00:00"/>
    <n v="320000"/>
    <n v="0"/>
    <n v="87"/>
    <s v="Fresher"/>
    <s v="Low"/>
    <n v="0.01"/>
    <s v="Unique"/>
    <x v="8"/>
  </r>
  <r>
    <n v="3101287"/>
    <s v="Bhavya"/>
    <x v="0"/>
    <x v="0"/>
    <x v="2"/>
    <x v="3"/>
    <x v="2"/>
    <d v="2026-07-15T00:00:00"/>
    <n v="615000"/>
    <n v="2"/>
    <n v="82"/>
    <s v="Mid Level"/>
    <s v="High"/>
    <n v="0.01"/>
    <s v="Unique"/>
    <x v="7"/>
  </r>
  <r>
    <n v="3101288"/>
    <s v="Aditya"/>
    <x v="1"/>
    <x v="0"/>
    <x v="10"/>
    <x v="0"/>
    <x v="3"/>
    <d v="2026-09-04T00:00:00"/>
    <n v="655000"/>
    <n v="2"/>
    <n v="76"/>
    <s v="Mid Level"/>
    <s v="High"/>
    <n v="0.02"/>
    <s v="Unique"/>
    <x v="4"/>
  </r>
  <r>
    <n v="3101289"/>
    <s v="Harish"/>
    <x v="1"/>
    <x v="0"/>
    <x v="0"/>
    <x v="2"/>
    <x v="1"/>
    <d v="2026-09-26T00:00:00"/>
    <n v="390000"/>
    <n v="5"/>
    <n v="88"/>
    <s v="Experienced"/>
    <s v="Low"/>
    <n v="0.02"/>
    <s v="Unique"/>
    <x v="4"/>
  </r>
  <r>
    <n v="3101290"/>
    <s v="Lakshmi"/>
    <x v="1"/>
    <x v="1"/>
    <x v="1"/>
    <x v="0"/>
    <x v="1"/>
    <d v="2026-07-26T00:00:00"/>
    <n v="320000"/>
    <n v="1"/>
    <n v="91"/>
    <s v="Fresher"/>
    <s v="Low"/>
    <n v="0.02"/>
    <s v="Unique"/>
    <x v="7"/>
  </r>
  <r>
    <n v="3101291"/>
    <s v="Shalini"/>
    <x v="2"/>
    <x v="0"/>
    <x v="7"/>
    <x v="1"/>
    <x v="2"/>
    <d v="2026-06-27T00:00:00"/>
    <n v="640000"/>
    <n v="5"/>
    <n v="69"/>
    <s v="Experienced"/>
    <s v="High"/>
    <n v="0.05"/>
    <s v="Unique"/>
    <x v="6"/>
  </r>
  <r>
    <n v="3101292"/>
    <s v="Nithin"/>
    <x v="4"/>
    <x v="0"/>
    <x v="2"/>
    <x v="1"/>
    <x v="1"/>
    <d v="2026-07-15T00:00:00"/>
    <n v="590000"/>
    <n v="1"/>
    <n v="95"/>
    <s v="Fresher"/>
    <s v="Medium"/>
    <n v="0.05"/>
    <s v="Unique"/>
    <x v="7"/>
  </r>
  <r>
    <n v="3101293"/>
    <s v="Sathish"/>
    <x v="6"/>
    <x v="0"/>
    <x v="11"/>
    <x v="0"/>
    <x v="1"/>
    <d v="2026-07-10T00:00:00"/>
    <n v="580000"/>
    <n v="4"/>
    <n v="73"/>
    <s v="Experienced"/>
    <s v="Medium"/>
    <n v="0.02"/>
    <s v="Unique"/>
    <x v="7"/>
  </r>
  <r>
    <n v="3101294"/>
    <s v="Anand"/>
    <x v="7"/>
    <x v="0"/>
    <x v="10"/>
    <x v="3"/>
    <x v="1"/>
    <d v="2026-08-01T00:00:00"/>
    <n v="585000"/>
    <n v="3"/>
    <n v="84"/>
    <s v="Mid Level"/>
    <s v="Medium"/>
    <n v="0.01"/>
    <s v="Unique"/>
    <x v="8"/>
  </r>
  <r>
    <n v="3101295"/>
    <s v="Swathi"/>
    <x v="2"/>
    <x v="1"/>
    <x v="1"/>
    <x v="3"/>
    <x v="1"/>
    <d v="2026-08-22T00:00:00"/>
    <n v="465000"/>
    <n v="0"/>
    <n v="79"/>
    <s v="Fresher"/>
    <s v="Medium"/>
    <n v="0.01"/>
    <s v="Unique"/>
    <x v="8"/>
  </r>
  <r>
    <n v="3101296"/>
    <s v="Keerthana"/>
    <x v="3"/>
    <x v="0"/>
    <x v="11"/>
    <x v="0"/>
    <x v="2"/>
    <d v="2026-08-13T00:00:00"/>
    <n v="485000"/>
    <n v="0"/>
    <n v="71"/>
    <s v="Fresher"/>
    <s v="Medium"/>
    <n v="0.02"/>
    <s v="Unique"/>
    <x v="8"/>
  </r>
  <r>
    <n v="3101297"/>
    <s v="Yamini"/>
    <x v="5"/>
    <x v="0"/>
    <x v="10"/>
    <x v="0"/>
    <x v="1"/>
    <d v="2026-07-15T00:00:00"/>
    <n v="765000"/>
    <n v="1"/>
    <n v="89"/>
    <s v="Fresher"/>
    <s v="High"/>
    <n v="0.02"/>
    <s v="Unique"/>
    <x v="7"/>
  </r>
  <r>
    <n v="3101298"/>
    <s v="Akshaya"/>
    <x v="1"/>
    <x v="3"/>
    <x v="4"/>
    <x v="3"/>
    <x v="2"/>
    <d v="2026-07-05T00:00:00"/>
    <n v="425000"/>
    <n v="0"/>
    <n v="67"/>
    <s v="Fresher"/>
    <s v="Low"/>
    <n v="0.01"/>
    <s v="Unique"/>
    <x v="7"/>
  </r>
  <r>
    <n v="3101299"/>
    <s v="Bharath"/>
    <x v="6"/>
    <x v="0"/>
    <x v="7"/>
    <x v="0"/>
    <x v="1"/>
    <d v="2026-08-28T00:00:00"/>
    <n v="680000"/>
    <n v="3"/>
    <n v="86"/>
    <s v="Mid Level"/>
    <s v="High"/>
    <n v="0.02"/>
    <s v="Unique"/>
    <x v="8"/>
  </r>
  <r>
    <n v="3101300"/>
    <s v="Akshaya"/>
    <x v="3"/>
    <x v="3"/>
    <x v="4"/>
    <x v="1"/>
    <x v="2"/>
    <d v="2026-05-21T00:00:00"/>
    <n v="280000"/>
    <n v="4"/>
    <n v="92"/>
    <s v="Experienced"/>
    <s v="Low"/>
    <n v="0.05"/>
    <s v="Unique"/>
    <x v="5"/>
  </r>
  <r>
    <n v="3101301"/>
    <s v="Shreya"/>
    <x v="6"/>
    <x v="0"/>
    <x v="2"/>
    <x v="1"/>
    <x v="3"/>
    <d v="2026-07-01T00:00:00"/>
    <n v="580000"/>
    <n v="5"/>
    <n v="69"/>
    <s v="Experienced"/>
    <s v="Medium"/>
    <n v="0.05"/>
    <s v="Unique"/>
    <x v="7"/>
  </r>
  <r>
    <n v="3101302"/>
    <s v="Anand"/>
    <x v="7"/>
    <x v="1"/>
    <x v="6"/>
    <x v="3"/>
    <x v="1"/>
    <d v="2026-06-30T00:00:00"/>
    <n v="405000"/>
    <n v="0"/>
    <n v="81"/>
    <s v="Fresher"/>
    <s v="Low"/>
    <n v="0.01"/>
    <s v="Unique"/>
    <x v="6"/>
  </r>
  <r>
    <n v="3101303"/>
    <s v="Nandhini"/>
    <x v="4"/>
    <x v="0"/>
    <x v="11"/>
    <x v="1"/>
    <x v="3"/>
    <d v="2026-05-31T00:00:00"/>
    <n v="435000"/>
    <n v="4"/>
    <n v="94"/>
    <s v="Experienced"/>
    <s v="Low"/>
    <n v="0.05"/>
    <s v="Unique"/>
    <x v="5"/>
  </r>
  <r>
    <n v="3101304"/>
    <s v="Reshma"/>
    <x v="4"/>
    <x v="2"/>
    <x v="3"/>
    <x v="1"/>
    <x v="1"/>
    <d v="2026-09-06T00:00:00"/>
    <n v="385000"/>
    <n v="1"/>
    <n v="77"/>
    <s v="Fresher"/>
    <s v="Low"/>
    <n v="0.05"/>
    <s v="Unique"/>
    <x v="4"/>
  </r>
  <r>
    <n v="3101305"/>
    <s v="Akshaya"/>
    <x v="7"/>
    <x v="0"/>
    <x v="11"/>
    <x v="0"/>
    <x v="0"/>
    <d v="2026-06-09T00:00:00"/>
    <n v="475000"/>
    <n v="0"/>
    <n v="72"/>
    <s v="Fresher"/>
    <s v="Medium"/>
    <n v="0.02"/>
    <s v="Unique"/>
    <x v="6"/>
  </r>
  <r>
    <n v="3101306"/>
    <s v="Rekha"/>
    <x v="4"/>
    <x v="0"/>
    <x v="5"/>
    <x v="3"/>
    <x v="3"/>
    <d v="2026-05-08T00:00:00"/>
    <n v="735000"/>
    <n v="1"/>
    <n v="90"/>
    <s v="Fresher"/>
    <s v="High"/>
    <n v="0.01"/>
    <s v="Unique"/>
    <x v="5"/>
  </r>
  <r>
    <n v="3101307"/>
    <s v="Sathish"/>
    <x v="5"/>
    <x v="1"/>
    <x v="1"/>
    <x v="0"/>
    <x v="3"/>
    <d v="2026-08-07T00:00:00"/>
    <n v="460000"/>
    <n v="4"/>
    <n v="74"/>
    <s v="Experienced"/>
    <s v="Medium"/>
    <n v="0.02"/>
    <s v="Unique"/>
    <x v="8"/>
  </r>
  <r>
    <n v="3101308"/>
    <s v="Vaishnavi"/>
    <x v="6"/>
    <x v="1"/>
    <x v="6"/>
    <x v="1"/>
    <x v="2"/>
    <d v="2026-06-02T00:00:00"/>
    <n v="510000"/>
    <n v="3"/>
    <n v="85"/>
    <s v="Mid Level"/>
    <s v="Medium"/>
    <n v="0.05"/>
    <s v="Unique"/>
    <x v="6"/>
  </r>
  <r>
    <n v="3101309"/>
    <s v="Sanjana"/>
    <x v="4"/>
    <x v="0"/>
    <x v="10"/>
    <x v="1"/>
    <x v="1"/>
    <d v="2026-08-20T00:00:00"/>
    <n v="735000"/>
    <n v="0"/>
    <n v="94"/>
    <s v="Fresher"/>
    <s v="High"/>
    <n v="0.05"/>
    <s v="Unique"/>
    <x v="8"/>
  </r>
  <r>
    <n v="3101310"/>
    <s v="Vishal"/>
    <x v="6"/>
    <x v="3"/>
    <x v="4"/>
    <x v="2"/>
    <x v="3"/>
    <d v="2026-08-16T00:00:00"/>
    <n v="295000"/>
    <n v="3"/>
    <n v="68"/>
    <s v="Mid Level"/>
    <s v="Low"/>
    <n v="0.02"/>
    <s v="Unique"/>
    <x v="8"/>
  </r>
  <r>
    <n v="3101311"/>
    <s v="Vaishnavi"/>
    <x v="4"/>
    <x v="0"/>
    <x v="7"/>
    <x v="0"/>
    <x v="1"/>
    <d v="2026-06-19T00:00:00"/>
    <n v="590000"/>
    <n v="2"/>
    <n v="87"/>
    <s v="Mid Level"/>
    <s v="Medium"/>
    <n v="0.02"/>
    <s v="Unique"/>
    <x v="6"/>
  </r>
  <r>
    <n v="3101312"/>
    <s v="Sanjana"/>
    <x v="1"/>
    <x v="2"/>
    <x v="8"/>
    <x v="1"/>
    <x v="1"/>
    <d v="2026-06-23T00:00:00"/>
    <n v="580000"/>
    <n v="3"/>
    <n v="82"/>
    <s v="Mid Level"/>
    <s v="Medium"/>
    <n v="0.05"/>
    <s v="Unique"/>
    <x v="6"/>
  </r>
  <r>
    <n v="3101313"/>
    <s v="Riya"/>
    <x v="0"/>
    <x v="0"/>
    <x v="7"/>
    <x v="2"/>
    <x v="0"/>
    <d v="2026-09-25T00:00:00"/>
    <n v="680000"/>
    <n v="0"/>
    <n v="76"/>
    <s v="Fresher"/>
    <s v="High"/>
    <n v="0.02"/>
    <s v="Unique"/>
    <x v="4"/>
  </r>
  <r>
    <n v="3101314"/>
    <s v="Lakshmi"/>
    <x v="2"/>
    <x v="1"/>
    <x v="6"/>
    <x v="0"/>
    <x v="0"/>
    <d v="2026-07-25T00:00:00"/>
    <n v="425000"/>
    <n v="3"/>
    <n v="88"/>
    <s v="Mid Level"/>
    <s v="Low"/>
    <n v="0.02"/>
    <s v="Unique"/>
    <x v="7"/>
  </r>
  <r>
    <n v="3101315"/>
    <s v="Amrutha"/>
    <x v="4"/>
    <x v="1"/>
    <x v="1"/>
    <x v="0"/>
    <x v="1"/>
    <d v="2026-09-05T00:00:00"/>
    <n v="460000"/>
    <n v="3"/>
    <n v="91"/>
    <s v="Mid Level"/>
    <s v="Medium"/>
    <n v="0.02"/>
    <s v="Unique"/>
    <x v="4"/>
  </r>
  <r>
    <n v="3101316"/>
    <s v="Varsha"/>
    <x v="6"/>
    <x v="0"/>
    <x v="10"/>
    <x v="1"/>
    <x v="2"/>
    <d v="2026-05-10T00:00:00"/>
    <n v="745000"/>
    <n v="0"/>
    <n v="69"/>
    <s v="Fresher"/>
    <s v="High"/>
    <n v="0.05"/>
    <s v="Unique"/>
    <x v="5"/>
  </r>
  <r>
    <n v="3101317"/>
    <s v="Manoj"/>
    <x v="3"/>
    <x v="3"/>
    <x v="9"/>
    <x v="2"/>
    <x v="0"/>
    <d v="2026-05-25T00:00:00"/>
    <n v="415000"/>
    <n v="3"/>
    <n v="95"/>
    <s v="Mid Level"/>
    <s v="Low"/>
    <n v="0.02"/>
    <s v="Unique"/>
    <x v="5"/>
  </r>
  <r>
    <n v="3101318"/>
    <s v="Riya"/>
    <x v="4"/>
    <x v="0"/>
    <x v="2"/>
    <x v="3"/>
    <x v="0"/>
    <d v="2026-06-02T00:00:00"/>
    <n v="625000"/>
    <n v="0"/>
    <n v="73"/>
    <s v="Fresher"/>
    <s v="High"/>
    <n v="0.01"/>
    <s v="Unique"/>
    <x v="6"/>
  </r>
  <r>
    <n v="3101319"/>
    <s v="Neha"/>
    <x v="5"/>
    <x v="3"/>
    <x v="4"/>
    <x v="1"/>
    <x v="0"/>
    <d v="2026-08-14T00:00:00"/>
    <n v="375000"/>
    <n v="3"/>
    <n v="84"/>
    <s v="Mid Level"/>
    <s v="Low"/>
    <n v="0.05"/>
    <s v="Unique"/>
    <x v="8"/>
  </r>
  <r>
    <n v="3101320"/>
    <s v="Surya"/>
    <x v="1"/>
    <x v="0"/>
    <x v="11"/>
    <x v="1"/>
    <x v="0"/>
    <d v="2026-06-29T00:00:00"/>
    <n v="470000"/>
    <n v="0"/>
    <n v="79"/>
    <s v="Fresher"/>
    <s v="Medium"/>
    <n v="0.05"/>
    <s v="Unique"/>
    <x v="6"/>
  </r>
  <r>
    <n v="3101321"/>
    <s v="Rekha"/>
    <x v="4"/>
    <x v="0"/>
    <x v="5"/>
    <x v="1"/>
    <x v="1"/>
    <d v="2026-06-29T00:00:00"/>
    <n v="785000"/>
    <n v="1"/>
    <n v="71"/>
    <s v="Fresher"/>
    <s v="High"/>
    <n v="0.05"/>
    <s v="Unique"/>
    <x v="6"/>
  </r>
  <r>
    <n v="3101322"/>
    <s v="Rekha"/>
    <x v="6"/>
    <x v="0"/>
    <x v="0"/>
    <x v="3"/>
    <x v="0"/>
    <d v="2026-05-13T00:00:00"/>
    <n v="625000"/>
    <n v="4"/>
    <n v="89"/>
    <s v="Experienced"/>
    <s v="High"/>
    <n v="0.01"/>
    <s v="Unique"/>
    <x v="5"/>
  </r>
  <r>
    <n v="3101323"/>
    <s v="Keerthana"/>
    <x v="6"/>
    <x v="0"/>
    <x v="5"/>
    <x v="2"/>
    <x v="1"/>
    <d v="2026-06-24T00:00:00"/>
    <n v="690000"/>
    <n v="0"/>
    <n v="67"/>
    <s v="Fresher"/>
    <s v="High"/>
    <n v="0.02"/>
    <s v="Unique"/>
    <x v="6"/>
  </r>
  <r>
    <n v="3101324"/>
    <s v="Nikhil"/>
    <x v="3"/>
    <x v="0"/>
    <x v="10"/>
    <x v="0"/>
    <x v="3"/>
    <d v="2026-09-11T00:00:00"/>
    <n v="825000"/>
    <n v="1"/>
    <n v="86"/>
    <s v="Fresher"/>
    <s v="High"/>
    <n v="0.02"/>
    <s v="Unique"/>
    <x v="4"/>
  </r>
  <r>
    <n v="3101325"/>
    <s v="Deepa"/>
    <x v="6"/>
    <x v="3"/>
    <x v="9"/>
    <x v="3"/>
    <x v="2"/>
    <d v="2026-07-14T00:00:00"/>
    <n v="290000"/>
    <n v="2"/>
    <n v="92"/>
    <s v="Mid Level"/>
    <s v="Low"/>
    <n v="0.01"/>
    <s v="Unique"/>
    <x v="7"/>
  </r>
  <r>
    <n v="3101326"/>
    <s v="Swathi"/>
    <x v="7"/>
    <x v="2"/>
    <x v="3"/>
    <x v="2"/>
    <x v="3"/>
    <d v="2026-08-31T00:00:00"/>
    <n v="340000"/>
    <n v="0"/>
    <n v="69"/>
    <s v="Fresher"/>
    <s v="Low"/>
    <n v="0.02"/>
    <s v="Unique"/>
    <x v="8"/>
  </r>
  <r>
    <n v="3101327"/>
    <s v="Vishal"/>
    <x v="2"/>
    <x v="0"/>
    <x v="0"/>
    <x v="3"/>
    <x v="2"/>
    <d v="2026-08-12T00:00:00"/>
    <n v="400000"/>
    <n v="2"/>
    <n v="81"/>
    <s v="Mid Level"/>
    <s v="Low"/>
    <n v="0.01"/>
    <s v="Unique"/>
    <x v="8"/>
  </r>
  <r>
    <n v="3101328"/>
    <s v="Bharath"/>
    <x v="7"/>
    <x v="0"/>
    <x v="5"/>
    <x v="1"/>
    <x v="3"/>
    <d v="2026-07-28T00:00:00"/>
    <n v="650000"/>
    <n v="4"/>
    <n v="94"/>
    <s v="Experienced"/>
    <s v="High"/>
    <n v="0.05"/>
    <s v="Unique"/>
    <x v="7"/>
  </r>
  <r>
    <n v="3101329"/>
    <s v="Vijay"/>
    <x v="0"/>
    <x v="0"/>
    <x v="5"/>
    <x v="1"/>
    <x v="2"/>
    <d v="2026-05-15T00:00:00"/>
    <n v="730000"/>
    <n v="5"/>
    <n v="77"/>
    <s v="Experienced"/>
    <s v="High"/>
    <n v="0.05"/>
    <s v="Unique"/>
    <x v="5"/>
  </r>
  <r>
    <n v="3101330"/>
    <s v="Isha"/>
    <x v="7"/>
    <x v="0"/>
    <x v="10"/>
    <x v="3"/>
    <x v="1"/>
    <d v="2026-07-24T00:00:00"/>
    <n v="555000"/>
    <n v="2"/>
    <n v="72"/>
    <s v="Mid Level"/>
    <s v="Medium"/>
    <n v="0.01"/>
    <s v="Unique"/>
    <x v="7"/>
  </r>
  <r>
    <n v="3101331"/>
    <s v="Pooja"/>
    <x v="0"/>
    <x v="0"/>
    <x v="0"/>
    <x v="0"/>
    <x v="1"/>
    <d v="2026-07-21T00:00:00"/>
    <n v="480000"/>
    <n v="3"/>
    <n v="90"/>
    <s v="Mid Level"/>
    <s v="Medium"/>
    <n v="0.02"/>
    <s v="Unique"/>
    <x v="7"/>
  </r>
  <r>
    <n v="3101332"/>
    <s v="Vishal"/>
    <x v="4"/>
    <x v="2"/>
    <x v="8"/>
    <x v="2"/>
    <x v="2"/>
    <d v="2026-06-24T00:00:00"/>
    <n v="545000"/>
    <n v="2"/>
    <n v="74"/>
    <s v="Mid Level"/>
    <s v="Medium"/>
    <n v="0.02"/>
    <s v="Unique"/>
    <x v="6"/>
  </r>
  <r>
    <n v="3101333"/>
    <s v="Pranav"/>
    <x v="0"/>
    <x v="0"/>
    <x v="5"/>
    <x v="2"/>
    <x v="1"/>
    <d v="2026-07-29T00:00:00"/>
    <n v="890000"/>
    <n v="2"/>
    <n v="85"/>
    <s v="Mid Level"/>
    <s v="High"/>
    <n v="0.02"/>
    <s v="Unique"/>
    <x v="7"/>
  </r>
  <r>
    <n v="3101334"/>
    <s v="Amrutha"/>
    <x v="2"/>
    <x v="0"/>
    <x v="7"/>
    <x v="2"/>
    <x v="1"/>
    <d v="2026-07-10T00:00:00"/>
    <n v="400000"/>
    <n v="1"/>
    <n v="94"/>
    <s v="Fresher"/>
    <s v="Low"/>
    <n v="0.02"/>
    <s v="Unique"/>
    <x v="7"/>
  </r>
  <r>
    <n v="3101335"/>
    <s v="Varsha"/>
    <x v="0"/>
    <x v="3"/>
    <x v="9"/>
    <x v="1"/>
    <x v="0"/>
    <d v="2026-06-04T00:00:00"/>
    <n v="405000"/>
    <n v="1"/>
    <n v="68"/>
    <s v="Fresher"/>
    <s v="Low"/>
    <n v="0.05"/>
    <s v="Unique"/>
    <x v="6"/>
  </r>
  <r>
    <n v="3101336"/>
    <s v="Nithin"/>
    <x v="4"/>
    <x v="0"/>
    <x v="10"/>
    <x v="2"/>
    <x v="3"/>
    <d v="2026-07-21T00:00:00"/>
    <n v="650000"/>
    <n v="4"/>
    <n v="87"/>
    <s v="Experienced"/>
    <s v="High"/>
    <n v="0.02"/>
    <s v="Unique"/>
    <x v="7"/>
  </r>
  <r>
    <n v="3101337"/>
    <s v="Ravi"/>
    <x v="6"/>
    <x v="2"/>
    <x v="8"/>
    <x v="3"/>
    <x v="1"/>
    <d v="2026-07-31T00:00:00"/>
    <n v="570000"/>
    <n v="0"/>
    <n v="82"/>
    <s v="Fresher"/>
    <s v="Medium"/>
    <n v="0.01"/>
    <s v="Unique"/>
    <x v="7"/>
  </r>
  <r>
    <n v="3101338"/>
    <s v="Siddharth"/>
    <x v="4"/>
    <x v="1"/>
    <x v="6"/>
    <x v="2"/>
    <x v="2"/>
    <d v="2026-06-14T00:00:00"/>
    <n v="490000"/>
    <n v="4"/>
    <n v="76"/>
    <s v="Experienced"/>
    <s v="Medium"/>
    <n v="0.02"/>
    <s v="Unique"/>
    <x v="6"/>
  </r>
  <r>
    <n v="3101339"/>
    <s v="Chaitanya"/>
    <x v="5"/>
    <x v="0"/>
    <x v="0"/>
    <x v="2"/>
    <x v="2"/>
    <d v="2026-05-26T00:00:00"/>
    <n v="440000"/>
    <n v="5"/>
    <n v="88"/>
    <s v="Experienced"/>
    <s v="Low"/>
    <n v="0.02"/>
    <s v="Unique"/>
    <x v="5"/>
  </r>
  <r>
    <n v="3101340"/>
    <s v="Nithin"/>
    <x v="3"/>
    <x v="0"/>
    <x v="0"/>
    <x v="2"/>
    <x v="1"/>
    <d v="2026-06-08T00:00:00"/>
    <n v="540000"/>
    <n v="3"/>
    <n v="91"/>
    <s v="Mid Level"/>
    <s v="Medium"/>
    <n v="0.02"/>
    <s v="Unique"/>
    <x v="6"/>
  </r>
  <r>
    <n v="3101341"/>
    <s v="Aakash"/>
    <x v="4"/>
    <x v="2"/>
    <x v="8"/>
    <x v="1"/>
    <x v="0"/>
    <d v="2026-06-01T00:00:00"/>
    <n v="635000"/>
    <n v="5"/>
    <n v="69"/>
    <s v="Experienced"/>
    <s v="High"/>
    <n v="0.05"/>
    <s v="Unique"/>
    <x v="6"/>
  </r>
  <r>
    <n v="3101342"/>
    <s v="Nikhil"/>
    <x v="5"/>
    <x v="2"/>
    <x v="3"/>
    <x v="0"/>
    <x v="0"/>
    <d v="2026-07-03T00:00:00"/>
    <n v="475000"/>
    <n v="4"/>
    <n v="95"/>
    <s v="Experienced"/>
    <s v="Medium"/>
    <n v="0.02"/>
    <s v="Unique"/>
    <x v="7"/>
  </r>
  <r>
    <n v="3101343"/>
    <s v="Monica"/>
    <x v="4"/>
    <x v="2"/>
    <x v="8"/>
    <x v="3"/>
    <x v="2"/>
    <d v="2026-08-27T00:00:00"/>
    <n v="610000"/>
    <n v="0"/>
    <n v="73"/>
    <s v="Fresher"/>
    <s v="High"/>
    <n v="0.01"/>
    <s v="Unique"/>
    <x v="8"/>
  </r>
  <r>
    <n v="3101344"/>
    <s v="Sowmya"/>
    <x v="3"/>
    <x v="0"/>
    <x v="0"/>
    <x v="0"/>
    <x v="2"/>
    <d v="2026-09-17T00:00:00"/>
    <n v="430000"/>
    <n v="3"/>
    <n v="84"/>
    <s v="Mid Level"/>
    <s v="Low"/>
    <n v="0.02"/>
    <s v="Unique"/>
    <x v="4"/>
  </r>
  <r>
    <n v="3101345"/>
    <s v="Reshma"/>
    <x v="5"/>
    <x v="0"/>
    <x v="7"/>
    <x v="2"/>
    <x v="1"/>
    <d v="2026-07-13T00:00:00"/>
    <n v="500000"/>
    <n v="2"/>
    <n v="79"/>
    <s v="Mid Level"/>
    <s v="Medium"/>
    <n v="0.02"/>
    <s v="Unique"/>
    <x v="7"/>
  </r>
  <r>
    <n v="3101346"/>
    <s v="Vaishnavi"/>
    <x v="6"/>
    <x v="0"/>
    <x v="7"/>
    <x v="1"/>
    <x v="2"/>
    <d v="2026-05-05T00:00:00"/>
    <n v="530000"/>
    <n v="2"/>
    <n v="71"/>
    <s v="Mid Level"/>
    <s v="Medium"/>
    <n v="0.05"/>
    <s v="Unique"/>
    <x v="5"/>
  </r>
  <r>
    <n v="3101347"/>
    <s v="Farhan"/>
    <x v="0"/>
    <x v="0"/>
    <x v="11"/>
    <x v="0"/>
    <x v="1"/>
    <d v="2026-08-14T00:00:00"/>
    <n v="505000"/>
    <n v="0"/>
    <n v="89"/>
    <s v="Fresher"/>
    <s v="Medium"/>
    <n v="0.02"/>
    <s v="Unique"/>
    <x v="8"/>
  </r>
  <r>
    <n v="3101348"/>
    <s v="Harish"/>
    <x v="2"/>
    <x v="0"/>
    <x v="10"/>
    <x v="0"/>
    <x v="3"/>
    <d v="2026-06-10T00:00:00"/>
    <n v="750000"/>
    <n v="0"/>
    <n v="67"/>
    <s v="Fresher"/>
    <s v="High"/>
    <n v="0.02"/>
    <s v="Unique"/>
    <x v="6"/>
  </r>
  <r>
    <n v="3101349"/>
    <s v="Varsha"/>
    <x v="5"/>
    <x v="2"/>
    <x v="3"/>
    <x v="1"/>
    <x v="2"/>
    <d v="2026-08-02T00:00:00"/>
    <n v="345000"/>
    <n v="5"/>
    <n v="86"/>
    <s v="Experienced"/>
    <s v="Low"/>
    <n v="0.05"/>
    <s v="Unique"/>
    <x v="8"/>
  </r>
  <r>
    <n v="3101350"/>
    <s v="Gokul"/>
    <x v="0"/>
    <x v="0"/>
    <x v="10"/>
    <x v="0"/>
    <x v="1"/>
    <d v="2026-09-10T00:00:00"/>
    <n v="720000"/>
    <n v="5"/>
    <n v="92"/>
    <s v="Experienced"/>
    <s v="High"/>
    <n v="0.02"/>
    <s v="Unique"/>
    <x v="4"/>
  </r>
  <r>
    <n v="3101351"/>
    <s v="Nandhini"/>
    <x v="3"/>
    <x v="0"/>
    <x v="5"/>
    <x v="0"/>
    <x v="3"/>
    <d v="2026-08-25T00:00:00"/>
    <n v="520000"/>
    <n v="3"/>
    <n v="69"/>
    <s v="Mid Level"/>
    <s v="Medium"/>
    <n v="0.02"/>
    <s v="Unique"/>
    <x v="8"/>
  </r>
  <r>
    <n v="3101352"/>
    <s v="Deepa"/>
    <x v="3"/>
    <x v="0"/>
    <x v="2"/>
    <x v="1"/>
    <x v="1"/>
    <d v="2026-05-10T00:00:00"/>
    <n v="450000"/>
    <n v="3"/>
    <n v="81"/>
    <s v="Mid Level"/>
    <s v="Medium"/>
    <n v="0.05"/>
    <s v="Unique"/>
    <x v="5"/>
  </r>
  <r>
    <n v="3101353"/>
    <s v="Farhan"/>
    <x v="7"/>
    <x v="1"/>
    <x v="6"/>
    <x v="1"/>
    <x v="3"/>
    <d v="2026-08-09T00:00:00"/>
    <n v="405000"/>
    <n v="2"/>
    <n v="94"/>
    <s v="Mid Level"/>
    <s v="Low"/>
    <n v="0.05"/>
    <s v="Unique"/>
    <x v="8"/>
  </r>
  <r>
    <n v="3101354"/>
    <s v="Reshma"/>
    <x v="5"/>
    <x v="1"/>
    <x v="1"/>
    <x v="2"/>
    <x v="1"/>
    <d v="2026-09-09T00:00:00"/>
    <n v="335000"/>
    <n v="4"/>
    <n v="77"/>
    <s v="Experienced"/>
    <s v="Low"/>
    <n v="0.02"/>
    <s v="Unique"/>
    <x v="4"/>
  </r>
  <r>
    <n v="3101355"/>
    <s v="Sathish"/>
    <x v="5"/>
    <x v="3"/>
    <x v="9"/>
    <x v="1"/>
    <x v="2"/>
    <d v="2026-06-20T00:00:00"/>
    <n v="420000"/>
    <n v="2"/>
    <n v="72"/>
    <s v="Mid Level"/>
    <s v="Low"/>
    <n v="0.05"/>
    <s v="Unique"/>
    <x v="6"/>
  </r>
  <r>
    <n v="3101356"/>
    <s v="Gautham"/>
    <x v="3"/>
    <x v="2"/>
    <x v="3"/>
    <x v="3"/>
    <x v="3"/>
    <d v="2026-09-27T00:00:00"/>
    <n v="420000"/>
    <n v="3"/>
    <n v="90"/>
    <s v="Mid Level"/>
    <s v="Low"/>
    <n v="0.01"/>
    <s v="Unique"/>
    <x v="4"/>
  </r>
  <r>
    <n v="3101357"/>
    <s v="Anand"/>
    <x v="2"/>
    <x v="2"/>
    <x v="3"/>
    <x v="2"/>
    <x v="3"/>
    <d v="2026-07-27T00:00:00"/>
    <n v="445000"/>
    <n v="2"/>
    <n v="74"/>
    <s v="Mid Level"/>
    <s v="Low"/>
    <n v="0.02"/>
    <s v="Unique"/>
    <x v="7"/>
  </r>
  <r>
    <n v="3101358"/>
    <s v="Riya"/>
    <x v="1"/>
    <x v="0"/>
    <x v="10"/>
    <x v="3"/>
    <x v="1"/>
    <d v="2026-06-20T00:00:00"/>
    <n v="620000"/>
    <n v="1"/>
    <n v="85"/>
    <s v="Fresher"/>
    <s v="High"/>
    <n v="0.01"/>
    <s v="Unique"/>
    <x v="6"/>
  </r>
  <r>
    <n v="3101359"/>
    <s v="Sanjana"/>
    <x v="6"/>
    <x v="3"/>
    <x v="4"/>
    <x v="2"/>
    <x v="1"/>
    <d v="2026-08-10T00:00:00"/>
    <n v="340000"/>
    <n v="5"/>
    <n v="94"/>
    <s v="Experienced"/>
    <s v="Low"/>
    <n v="0.02"/>
    <s v="Duplicate"/>
    <x v="8"/>
  </r>
  <r>
    <n v="3101360"/>
    <s v="Aishwarya"/>
    <x v="6"/>
    <x v="0"/>
    <x v="11"/>
    <x v="1"/>
    <x v="0"/>
    <d v="2026-05-26T00:00:00"/>
    <n v="685000"/>
    <n v="0"/>
    <n v="68"/>
    <s v="Fresher"/>
    <s v="High"/>
    <n v="0.05"/>
    <s v="Unique"/>
    <x v="5"/>
  </r>
  <r>
    <n v="3101361"/>
    <s v="Preethi"/>
    <x v="3"/>
    <x v="0"/>
    <x v="2"/>
    <x v="1"/>
    <x v="1"/>
    <d v="2026-05-16T00:00:00"/>
    <n v="615000"/>
    <n v="2"/>
    <n v="87"/>
    <s v="Mid Level"/>
    <s v="High"/>
    <n v="0.05"/>
    <s v="Unique"/>
    <x v="5"/>
  </r>
  <r>
    <n v="3101362"/>
    <s v="Aakash"/>
    <x v="6"/>
    <x v="1"/>
    <x v="6"/>
    <x v="0"/>
    <x v="1"/>
    <d v="2026-06-18T00:00:00"/>
    <n v="450000"/>
    <n v="0"/>
    <n v="82"/>
    <s v="Fresher"/>
    <s v="Medium"/>
    <n v="0.02"/>
    <s v="Unique"/>
    <x v="6"/>
  </r>
  <r>
    <n v="3101363"/>
    <s v="Surya"/>
    <x v="0"/>
    <x v="2"/>
    <x v="8"/>
    <x v="3"/>
    <x v="1"/>
    <d v="2026-06-23T00:00:00"/>
    <n v="615000"/>
    <n v="5"/>
    <n v="76"/>
    <s v="Experienced"/>
    <s v="High"/>
    <n v="0.01"/>
    <s v="Unique"/>
    <x v="6"/>
  </r>
  <r>
    <n v="3101364"/>
    <s v="Bharath"/>
    <x v="5"/>
    <x v="0"/>
    <x v="7"/>
    <x v="1"/>
    <x v="2"/>
    <d v="2026-07-31T00:00:00"/>
    <n v="515000"/>
    <n v="0"/>
    <n v="88"/>
    <s v="Fresher"/>
    <s v="Medium"/>
    <n v="0.05"/>
    <s v="Unique"/>
    <x v="7"/>
  </r>
  <r>
    <n v="3101365"/>
    <s v="Vaishnavi"/>
    <x v="2"/>
    <x v="0"/>
    <x v="10"/>
    <x v="3"/>
    <x v="2"/>
    <d v="2026-08-20T00:00:00"/>
    <n v="570000"/>
    <n v="2"/>
    <n v="91"/>
    <s v="Mid Level"/>
    <s v="Medium"/>
    <n v="0.01"/>
    <s v="Unique"/>
    <x v="8"/>
  </r>
  <r>
    <n v="3101366"/>
    <s v="Nithin"/>
    <x v="6"/>
    <x v="2"/>
    <x v="8"/>
    <x v="2"/>
    <x v="2"/>
    <d v="2026-05-13T00:00:00"/>
    <n v="405000"/>
    <n v="0"/>
    <n v="69"/>
    <s v="Fresher"/>
    <s v="Low"/>
    <n v="0.02"/>
    <s v="Unique"/>
    <x v="5"/>
  </r>
  <r>
    <n v="3101367"/>
    <s v="Harish"/>
    <x v="0"/>
    <x v="3"/>
    <x v="4"/>
    <x v="2"/>
    <x v="1"/>
    <d v="2026-06-19T00:00:00"/>
    <n v="425000"/>
    <n v="3"/>
    <n v="95"/>
    <s v="Mid Level"/>
    <s v="Low"/>
    <n v="0.02"/>
    <s v="Unique"/>
    <x v="6"/>
  </r>
  <r>
    <n v="3101368"/>
    <s v="Neha"/>
    <x v="7"/>
    <x v="2"/>
    <x v="8"/>
    <x v="1"/>
    <x v="1"/>
    <d v="2026-08-20T00:00:00"/>
    <n v="530000"/>
    <n v="4"/>
    <n v="73"/>
    <s v="Experienced"/>
    <s v="Medium"/>
    <n v="0.05"/>
    <s v="Unique"/>
    <x v="8"/>
  </r>
  <r>
    <n v="3101369"/>
    <s v="Bhavya"/>
    <x v="7"/>
    <x v="1"/>
    <x v="6"/>
    <x v="1"/>
    <x v="2"/>
    <d v="2026-05-21T00:00:00"/>
    <n v="405000"/>
    <n v="3"/>
    <n v="84"/>
    <s v="Mid Level"/>
    <s v="Low"/>
    <n v="0.05"/>
    <s v="Unique"/>
    <x v="5"/>
  </r>
  <r>
    <n v="3101370"/>
    <s v="Deepa"/>
    <x v="6"/>
    <x v="0"/>
    <x v="0"/>
    <x v="2"/>
    <x v="3"/>
    <d v="2026-08-31T00:00:00"/>
    <n v="600000"/>
    <n v="4"/>
    <n v="79"/>
    <s v="Experienced"/>
    <s v="High"/>
    <n v="0.02"/>
    <s v="Unique"/>
    <x v="8"/>
  </r>
  <r>
    <n v="3101371"/>
    <s v="Sathish"/>
    <x v="6"/>
    <x v="1"/>
    <x v="6"/>
    <x v="1"/>
    <x v="3"/>
    <d v="2026-06-06T00:00:00"/>
    <n v="430000"/>
    <n v="2"/>
    <n v="71"/>
    <s v="Mid Level"/>
    <s v="Low"/>
    <n v="0.05"/>
    <s v="Unique"/>
    <x v="6"/>
  </r>
  <r>
    <n v="3101372"/>
    <s v="Aishwarya"/>
    <x v="0"/>
    <x v="0"/>
    <x v="11"/>
    <x v="1"/>
    <x v="0"/>
    <d v="2026-09-21T00:00:00"/>
    <n v="625000"/>
    <n v="2"/>
    <n v="89"/>
    <s v="Mid Level"/>
    <s v="High"/>
    <n v="0.05"/>
    <s v="Unique"/>
    <x v="4"/>
  </r>
  <r>
    <n v="3101373"/>
    <s v="Amal"/>
    <x v="5"/>
    <x v="1"/>
    <x v="1"/>
    <x v="2"/>
    <x v="1"/>
    <d v="2026-07-30T00:00:00"/>
    <n v="310000"/>
    <n v="2"/>
    <n v="67"/>
    <s v="Mid Level"/>
    <s v="Low"/>
    <n v="0.02"/>
    <s v="Unique"/>
    <x v="7"/>
  </r>
  <r>
    <n v="3101374"/>
    <s v="Shalini"/>
    <x v="3"/>
    <x v="1"/>
    <x v="6"/>
    <x v="1"/>
    <x v="3"/>
    <d v="2026-07-06T00:00:00"/>
    <n v="320000"/>
    <n v="2"/>
    <n v="86"/>
    <s v="Mid Level"/>
    <s v="Low"/>
    <n v="0.05"/>
    <s v="Unique"/>
    <x v="7"/>
  </r>
  <r>
    <n v="3101375"/>
    <s v="Jeeva"/>
    <x v="4"/>
    <x v="0"/>
    <x v="5"/>
    <x v="0"/>
    <x v="2"/>
    <d v="2026-05-14T00:00:00"/>
    <n v="775000"/>
    <n v="3"/>
    <n v="92"/>
    <s v="Mid Level"/>
    <s v="High"/>
    <n v="0.02"/>
    <s v="Unique"/>
    <x v="5"/>
  </r>
  <r>
    <n v="3101376"/>
    <s v="Rakesh"/>
    <x v="7"/>
    <x v="0"/>
    <x v="10"/>
    <x v="2"/>
    <x v="1"/>
    <d v="2026-05-14T00:00:00"/>
    <n v="800000"/>
    <n v="2"/>
    <n v="69"/>
    <s v="Mid Level"/>
    <s v="High"/>
    <n v="0.02"/>
    <s v="Unique"/>
    <x v="5"/>
  </r>
  <r>
    <n v="3101377"/>
    <s v="Ananya"/>
    <x v="5"/>
    <x v="2"/>
    <x v="3"/>
    <x v="0"/>
    <x v="2"/>
    <d v="2026-09-03T00:00:00"/>
    <n v="310000"/>
    <n v="2"/>
    <n v="81"/>
    <s v="Mid Level"/>
    <s v="Low"/>
    <n v="0.02"/>
    <s v="Unique"/>
    <x v="4"/>
  </r>
  <r>
    <n v="3101378"/>
    <s v="Rani"/>
    <x v="5"/>
    <x v="3"/>
    <x v="9"/>
    <x v="0"/>
    <x v="1"/>
    <d v="2026-06-06T00:00:00"/>
    <n v="390000"/>
    <n v="3"/>
    <n v="94"/>
    <s v="Mid Level"/>
    <s v="Low"/>
    <n v="0.02"/>
    <s v="Unique"/>
    <x v="6"/>
  </r>
  <r>
    <n v="3101379"/>
    <s v="Monica"/>
    <x v="6"/>
    <x v="1"/>
    <x v="6"/>
    <x v="2"/>
    <x v="0"/>
    <d v="2026-08-25T00:00:00"/>
    <n v="325000"/>
    <n v="5"/>
    <n v="77"/>
    <s v="Experienced"/>
    <s v="Low"/>
    <n v="0.02"/>
    <s v="Unique"/>
    <x v="8"/>
  </r>
  <r>
    <n v="3101380"/>
    <s v="Reshma"/>
    <x v="5"/>
    <x v="0"/>
    <x v="11"/>
    <x v="3"/>
    <x v="2"/>
    <d v="2026-09-26T00:00:00"/>
    <n v="685000"/>
    <n v="5"/>
    <n v="72"/>
    <s v="Experienced"/>
    <s v="High"/>
    <n v="0.01"/>
    <s v="Unique"/>
    <x v="4"/>
  </r>
  <r>
    <n v="3101381"/>
    <s v="Gautham"/>
    <x v="6"/>
    <x v="3"/>
    <x v="9"/>
    <x v="3"/>
    <x v="0"/>
    <d v="2026-06-14T00:00:00"/>
    <n v="330000"/>
    <n v="5"/>
    <n v="90"/>
    <s v="Experienced"/>
    <s v="Low"/>
    <n v="0.01"/>
    <s v="Unique"/>
    <x v="6"/>
  </r>
  <r>
    <n v="3101382"/>
    <s v="Amal"/>
    <x v="6"/>
    <x v="0"/>
    <x v="7"/>
    <x v="3"/>
    <x v="0"/>
    <d v="2026-09-27T00:00:00"/>
    <n v="670000"/>
    <n v="3"/>
    <n v="74"/>
    <s v="Mid Level"/>
    <s v="High"/>
    <n v="0.01"/>
    <s v="Unique"/>
    <x v="4"/>
  </r>
  <r>
    <n v="3101383"/>
    <s v="Anand"/>
    <x v="6"/>
    <x v="0"/>
    <x v="7"/>
    <x v="3"/>
    <x v="0"/>
    <d v="2026-05-25T00:00:00"/>
    <n v="495000"/>
    <n v="3"/>
    <n v="85"/>
    <s v="Mid Level"/>
    <s v="Medium"/>
    <n v="0.01"/>
    <s v="Unique"/>
    <x v="5"/>
  </r>
  <r>
    <n v="3101384"/>
    <s v="Bharath"/>
    <x v="7"/>
    <x v="1"/>
    <x v="1"/>
    <x v="2"/>
    <x v="2"/>
    <d v="2026-07-28T00:00:00"/>
    <n v="460000"/>
    <n v="3"/>
    <n v="94"/>
    <s v="Mid Level"/>
    <s v="Medium"/>
    <n v="0.02"/>
    <s v="Unique"/>
    <x v="7"/>
  </r>
  <r>
    <n v="3101385"/>
    <s v="Deepa"/>
    <x v="7"/>
    <x v="0"/>
    <x v="5"/>
    <x v="0"/>
    <x v="3"/>
    <d v="2026-07-08T00:00:00"/>
    <n v="570000"/>
    <n v="4"/>
    <n v="68"/>
    <s v="Experienced"/>
    <s v="Medium"/>
    <n v="0.02"/>
    <s v="Unique"/>
    <x v="7"/>
  </r>
  <r>
    <n v="3101386"/>
    <s v="Aravind"/>
    <x v="3"/>
    <x v="0"/>
    <x v="10"/>
    <x v="2"/>
    <x v="1"/>
    <d v="2026-09-11T00:00:00"/>
    <n v="730000"/>
    <n v="3"/>
    <n v="87"/>
    <s v="Mid Level"/>
    <s v="High"/>
    <n v="0.02"/>
    <s v="Unique"/>
    <x v="4"/>
  </r>
  <r>
    <n v="3101387"/>
    <s v="Naveen"/>
    <x v="0"/>
    <x v="0"/>
    <x v="0"/>
    <x v="3"/>
    <x v="0"/>
    <d v="2026-09-05T00:00:00"/>
    <n v="640000"/>
    <n v="5"/>
    <n v="82"/>
    <s v="Experienced"/>
    <s v="High"/>
    <n v="0.01"/>
    <s v="Unique"/>
    <x v="4"/>
  </r>
  <r>
    <n v="3101388"/>
    <s v="Sanjana"/>
    <x v="4"/>
    <x v="2"/>
    <x v="8"/>
    <x v="3"/>
    <x v="1"/>
    <d v="2026-09-03T00:00:00"/>
    <n v="405000"/>
    <n v="4"/>
    <n v="76"/>
    <s v="Experienced"/>
    <s v="Low"/>
    <n v="0.01"/>
    <s v="Unique"/>
    <x v="4"/>
  </r>
  <r>
    <n v="3101389"/>
    <s v="Amrutha"/>
    <x v="1"/>
    <x v="0"/>
    <x v="0"/>
    <x v="0"/>
    <x v="0"/>
    <d v="2026-06-23T00:00:00"/>
    <n v="390000"/>
    <n v="1"/>
    <n v="88"/>
    <s v="Fresher"/>
    <s v="Low"/>
    <n v="0.02"/>
    <s v="Unique"/>
    <x v="6"/>
  </r>
  <r>
    <n v="3101390"/>
    <s v="Neha"/>
    <x v="0"/>
    <x v="2"/>
    <x v="3"/>
    <x v="3"/>
    <x v="2"/>
    <d v="2026-09-07T00:00:00"/>
    <n v="325000"/>
    <n v="3"/>
    <n v="91"/>
    <s v="Mid Level"/>
    <s v="Low"/>
    <n v="0.01"/>
    <s v="Unique"/>
    <x v="4"/>
  </r>
  <r>
    <n v="3101391"/>
    <s v="Gautham"/>
    <x v="3"/>
    <x v="2"/>
    <x v="8"/>
    <x v="1"/>
    <x v="0"/>
    <d v="2026-09-16T00:00:00"/>
    <n v="535000"/>
    <n v="5"/>
    <n v="69"/>
    <s v="Experienced"/>
    <s v="Medium"/>
    <n v="0.05"/>
    <s v="Unique"/>
    <x v="4"/>
  </r>
  <r>
    <n v="3101392"/>
    <s v="Manoj"/>
    <x v="0"/>
    <x v="3"/>
    <x v="9"/>
    <x v="3"/>
    <x v="1"/>
    <d v="2026-07-05T00:00:00"/>
    <n v="425000"/>
    <n v="1"/>
    <n v="95"/>
    <s v="Fresher"/>
    <s v="Low"/>
    <n v="0.01"/>
    <s v="Unique"/>
    <x v="7"/>
  </r>
  <r>
    <n v="3101393"/>
    <s v="Arjun"/>
    <x v="7"/>
    <x v="0"/>
    <x v="2"/>
    <x v="0"/>
    <x v="1"/>
    <d v="2026-07-21T00:00:00"/>
    <n v="540000"/>
    <n v="1"/>
    <n v="73"/>
    <s v="Fresher"/>
    <s v="Medium"/>
    <n v="0.02"/>
    <s v="Unique"/>
    <x v="7"/>
  </r>
  <r>
    <n v="3101394"/>
    <s v="Nithin"/>
    <x v="7"/>
    <x v="0"/>
    <x v="0"/>
    <x v="0"/>
    <x v="3"/>
    <d v="2026-06-13T00:00:00"/>
    <n v="435000"/>
    <n v="0"/>
    <n v="84"/>
    <s v="Fresher"/>
    <s v="Low"/>
    <n v="0.02"/>
    <s v="Unique"/>
    <x v="6"/>
  </r>
  <r>
    <n v="3101395"/>
    <s v="Ananya"/>
    <x v="7"/>
    <x v="2"/>
    <x v="3"/>
    <x v="1"/>
    <x v="0"/>
    <d v="2026-05-05T00:00:00"/>
    <n v="400000"/>
    <n v="5"/>
    <n v="79"/>
    <s v="Experienced"/>
    <s v="Low"/>
    <n v="0.05"/>
    <s v="Unique"/>
    <x v="5"/>
  </r>
  <r>
    <n v="3101396"/>
    <s v="Tarun"/>
    <x v="3"/>
    <x v="3"/>
    <x v="9"/>
    <x v="2"/>
    <x v="2"/>
    <d v="2026-07-26T00:00:00"/>
    <n v="355000"/>
    <n v="0"/>
    <n v="71"/>
    <s v="Fresher"/>
    <s v="Low"/>
    <n v="0.02"/>
    <s v="Unique"/>
    <x v="7"/>
  </r>
  <r>
    <n v="3101397"/>
    <s v="Ananya"/>
    <x v="1"/>
    <x v="0"/>
    <x v="11"/>
    <x v="1"/>
    <x v="1"/>
    <d v="2026-08-17T00:00:00"/>
    <n v="460000"/>
    <n v="0"/>
    <n v="89"/>
    <s v="Fresher"/>
    <s v="Medium"/>
    <n v="0.05"/>
    <s v="Unique"/>
    <x v="8"/>
  </r>
  <r>
    <n v="3101398"/>
    <s v="Madhavan"/>
    <x v="4"/>
    <x v="3"/>
    <x v="9"/>
    <x v="2"/>
    <x v="1"/>
    <d v="2026-05-25T00:00:00"/>
    <n v="385000"/>
    <n v="1"/>
    <n v="67"/>
    <s v="Fresher"/>
    <s v="Low"/>
    <n v="0.02"/>
    <s v="Unique"/>
    <x v="5"/>
  </r>
  <r>
    <n v="3101399"/>
    <s v="Deepa"/>
    <x v="1"/>
    <x v="0"/>
    <x v="11"/>
    <x v="1"/>
    <x v="2"/>
    <d v="2026-06-16T00:00:00"/>
    <n v="485000"/>
    <n v="0"/>
    <n v="86"/>
    <s v="Fresher"/>
    <s v="Medium"/>
    <n v="0.05"/>
    <s v="Unique"/>
    <x v="6"/>
  </r>
  <r>
    <n v="3101400"/>
    <s v="Lakshmi"/>
    <x v="4"/>
    <x v="3"/>
    <x v="4"/>
    <x v="2"/>
    <x v="2"/>
    <d v="2026-09-01T00:00:00"/>
    <n v="400000"/>
    <n v="0"/>
    <n v="92"/>
    <s v="Fresher"/>
    <s v="Low"/>
    <n v="0.02"/>
    <s v="Unique"/>
    <x v="4"/>
  </r>
  <r>
    <n v="3101401"/>
    <s v="Nandhini"/>
    <x v="3"/>
    <x v="1"/>
    <x v="6"/>
    <x v="2"/>
    <x v="1"/>
    <d v="2026-05-30T00:00:00"/>
    <n v="335000"/>
    <n v="0"/>
    <n v="69"/>
    <s v="Fresher"/>
    <s v="Low"/>
    <n v="0.02"/>
    <s v="Unique"/>
    <x v="5"/>
  </r>
  <r>
    <n v="3101402"/>
    <s v="Lakshmi"/>
    <x v="6"/>
    <x v="3"/>
    <x v="9"/>
    <x v="2"/>
    <x v="3"/>
    <d v="2026-07-19T00:00:00"/>
    <n v="295000"/>
    <n v="1"/>
    <n v="81"/>
    <s v="Fresher"/>
    <s v="Low"/>
    <n v="0.02"/>
    <s v="Unique"/>
    <x v="7"/>
  </r>
  <r>
    <n v="3101403"/>
    <s v="Riya"/>
    <x v="3"/>
    <x v="0"/>
    <x v="2"/>
    <x v="2"/>
    <x v="1"/>
    <d v="2026-08-31T00:00:00"/>
    <n v="720000"/>
    <n v="5"/>
    <n v="94"/>
    <s v="Experienced"/>
    <s v="High"/>
    <n v="0.02"/>
    <s v="Unique"/>
    <x v="8"/>
  </r>
  <r>
    <n v="3101404"/>
    <s v="Jeeva"/>
    <x v="1"/>
    <x v="0"/>
    <x v="0"/>
    <x v="2"/>
    <x v="3"/>
    <d v="2026-07-27T00:00:00"/>
    <n v="615000"/>
    <n v="3"/>
    <n v="77"/>
    <s v="Mid Level"/>
    <s v="High"/>
    <n v="0.02"/>
    <s v="Unique"/>
    <x v="7"/>
  </r>
  <r>
    <n v="3101405"/>
    <s v="Ashwin"/>
    <x v="1"/>
    <x v="1"/>
    <x v="6"/>
    <x v="3"/>
    <x v="0"/>
    <d v="2026-07-28T00:00:00"/>
    <n v="365000"/>
    <n v="2"/>
    <n v="72"/>
    <s v="Mid Level"/>
    <s v="Low"/>
    <n v="0.01"/>
    <s v="Unique"/>
    <x v="7"/>
  </r>
  <r>
    <n v="3101406"/>
    <s v="Farhan"/>
    <x v="1"/>
    <x v="0"/>
    <x v="2"/>
    <x v="0"/>
    <x v="1"/>
    <d v="2026-09-04T00:00:00"/>
    <n v="505000"/>
    <n v="5"/>
    <n v="90"/>
    <s v="Experienced"/>
    <s v="Medium"/>
    <n v="0.02"/>
    <s v="Unique"/>
    <x v="4"/>
  </r>
  <r>
    <n v="3101407"/>
    <s v="Swathi"/>
    <x v="6"/>
    <x v="0"/>
    <x v="0"/>
    <x v="0"/>
    <x v="2"/>
    <d v="2026-08-15T00:00:00"/>
    <n v="435000"/>
    <n v="3"/>
    <n v="74"/>
    <s v="Mid Level"/>
    <s v="Low"/>
    <n v="0.02"/>
    <s v="Unique"/>
    <x v="8"/>
  </r>
  <r>
    <n v="3101408"/>
    <s v="Dhanush"/>
    <x v="7"/>
    <x v="0"/>
    <x v="2"/>
    <x v="0"/>
    <x v="3"/>
    <d v="2026-05-28T00:00:00"/>
    <n v="490000"/>
    <n v="5"/>
    <n v="85"/>
    <s v="Experienced"/>
    <s v="Medium"/>
    <n v="0.02"/>
    <s v="Unique"/>
    <x v="5"/>
  </r>
  <r>
    <n v="3101409"/>
    <s v="Ashwin"/>
    <x v="6"/>
    <x v="0"/>
    <x v="11"/>
    <x v="3"/>
    <x v="1"/>
    <d v="2026-07-07T00:00:00"/>
    <n v="440000"/>
    <n v="5"/>
    <n v="94"/>
    <s v="Experienced"/>
    <s v="Low"/>
    <n v="0.01"/>
    <s v="Unique"/>
    <x v="7"/>
  </r>
  <r>
    <n v="3101410"/>
    <s v="Tarun"/>
    <x v="5"/>
    <x v="0"/>
    <x v="0"/>
    <x v="2"/>
    <x v="1"/>
    <d v="2026-05-10T00:00:00"/>
    <n v="550000"/>
    <n v="4"/>
    <n v="68"/>
    <s v="Experienced"/>
    <s v="Medium"/>
    <n v="0.02"/>
    <s v="Unique"/>
    <x v="5"/>
  </r>
  <r>
    <n v="3101411"/>
    <s v="Pooja"/>
    <x v="6"/>
    <x v="0"/>
    <x v="7"/>
    <x v="3"/>
    <x v="3"/>
    <d v="2026-05-19T00:00:00"/>
    <n v="465000"/>
    <n v="5"/>
    <n v="87"/>
    <s v="Experienced"/>
    <s v="Medium"/>
    <n v="0.01"/>
    <s v="Unique"/>
    <x v="5"/>
  </r>
  <r>
    <n v="3101412"/>
    <s v="Aakash"/>
    <x v="5"/>
    <x v="0"/>
    <x v="0"/>
    <x v="0"/>
    <x v="3"/>
    <d v="2026-09-02T00:00:00"/>
    <n v="460000"/>
    <n v="4"/>
    <n v="82"/>
    <s v="Experienced"/>
    <s v="Medium"/>
    <n v="0.02"/>
    <s v="Unique"/>
    <x v="4"/>
  </r>
  <r>
    <n v="3101413"/>
    <s v="Gautham"/>
    <x v="0"/>
    <x v="0"/>
    <x v="11"/>
    <x v="0"/>
    <x v="2"/>
    <d v="2026-07-14T00:00:00"/>
    <n v="645000"/>
    <n v="5"/>
    <n v="76"/>
    <s v="Experienced"/>
    <s v="High"/>
    <n v="0.02"/>
    <s v="Unique"/>
    <x v="7"/>
  </r>
  <r>
    <n v="3101414"/>
    <s v="Arjun"/>
    <x v="0"/>
    <x v="0"/>
    <x v="10"/>
    <x v="2"/>
    <x v="1"/>
    <d v="2026-05-11T00:00:00"/>
    <n v="860000"/>
    <n v="0"/>
    <n v="88"/>
    <s v="Fresher"/>
    <s v="High"/>
    <n v="0.02"/>
    <s v="Unique"/>
    <x v="5"/>
  </r>
  <r>
    <n v="3101415"/>
    <s v="Dhanush"/>
    <x v="7"/>
    <x v="0"/>
    <x v="10"/>
    <x v="2"/>
    <x v="0"/>
    <d v="2026-07-05T00:00:00"/>
    <n v="685000"/>
    <n v="5"/>
    <n v="91"/>
    <s v="Experienced"/>
    <s v="High"/>
    <n v="0.02"/>
    <s v="Unique"/>
    <x v="7"/>
  </r>
  <r>
    <n v="3101416"/>
    <s v="Divya"/>
    <x v="6"/>
    <x v="0"/>
    <x v="5"/>
    <x v="0"/>
    <x v="3"/>
    <d v="2026-07-21T00:00:00"/>
    <n v="790000"/>
    <n v="0"/>
    <n v="69"/>
    <s v="Fresher"/>
    <s v="High"/>
    <n v="0.02"/>
    <s v="Unique"/>
    <x v="7"/>
  </r>
  <r>
    <n v="3101417"/>
    <s v="Aditya"/>
    <x v="6"/>
    <x v="0"/>
    <x v="2"/>
    <x v="3"/>
    <x v="0"/>
    <d v="2026-09-28T00:00:00"/>
    <n v="710000"/>
    <n v="3"/>
    <n v="95"/>
    <s v="Mid Level"/>
    <s v="High"/>
    <n v="0.01"/>
    <s v="Unique"/>
    <x v="4"/>
  </r>
  <r>
    <n v="3101418"/>
    <s v="Akash"/>
    <x v="4"/>
    <x v="0"/>
    <x v="7"/>
    <x v="2"/>
    <x v="1"/>
    <d v="2026-08-07T00:00:00"/>
    <n v="435000"/>
    <n v="1"/>
    <n v="73"/>
    <s v="Fresher"/>
    <s v="Low"/>
    <n v="0.02"/>
    <s v="Unique"/>
    <x v="8"/>
  </r>
  <r>
    <n v="3101419"/>
    <s v="Aravind"/>
    <x v="1"/>
    <x v="0"/>
    <x v="2"/>
    <x v="0"/>
    <x v="2"/>
    <d v="2026-08-24T00:00:00"/>
    <n v="560000"/>
    <n v="2"/>
    <n v="84"/>
    <s v="Mid Level"/>
    <s v="Medium"/>
    <n v="0.02"/>
    <s v="Unique"/>
    <x v="8"/>
  </r>
  <r>
    <n v="3101420"/>
    <s v="Anand"/>
    <x v="5"/>
    <x v="0"/>
    <x v="0"/>
    <x v="0"/>
    <x v="2"/>
    <d v="2026-06-01T00:00:00"/>
    <n v="600000"/>
    <n v="2"/>
    <n v="79"/>
    <s v="Mid Level"/>
    <s v="High"/>
    <n v="0.02"/>
    <s v="Unique"/>
    <x v="6"/>
  </r>
  <r>
    <n v="3101421"/>
    <s v="Nikhil"/>
    <x v="5"/>
    <x v="1"/>
    <x v="6"/>
    <x v="0"/>
    <x v="0"/>
    <d v="2026-08-26T00:00:00"/>
    <n v="470000"/>
    <n v="1"/>
    <n v="71"/>
    <s v="Fresher"/>
    <s v="Medium"/>
    <n v="0.02"/>
    <s v="Unique"/>
    <x v="8"/>
  </r>
  <r>
    <n v="3101422"/>
    <s v="Farhan"/>
    <x v="5"/>
    <x v="0"/>
    <x v="5"/>
    <x v="2"/>
    <x v="1"/>
    <d v="2026-07-23T00:00:00"/>
    <n v="865000"/>
    <n v="4"/>
    <n v="89"/>
    <s v="Experienced"/>
    <s v="High"/>
    <n v="0.02"/>
    <s v="Unique"/>
    <x v="7"/>
  </r>
  <r>
    <n v="3101423"/>
    <s v="Sachin"/>
    <x v="0"/>
    <x v="0"/>
    <x v="11"/>
    <x v="3"/>
    <x v="0"/>
    <d v="2026-07-04T00:00:00"/>
    <n v="445000"/>
    <n v="5"/>
    <n v="67"/>
    <s v="Experienced"/>
    <s v="Low"/>
    <n v="0.01"/>
    <s v="Unique"/>
    <x v="7"/>
  </r>
  <r>
    <n v="3101424"/>
    <s v="Nandhini"/>
    <x v="1"/>
    <x v="0"/>
    <x v="7"/>
    <x v="0"/>
    <x v="0"/>
    <d v="2026-06-11T00:00:00"/>
    <n v="570000"/>
    <n v="3"/>
    <n v="86"/>
    <s v="Mid Level"/>
    <s v="Medium"/>
    <n v="0.02"/>
    <s v="Unique"/>
    <x v="6"/>
  </r>
  <r>
    <n v="3101425"/>
    <s v="Rekha"/>
    <x v="0"/>
    <x v="3"/>
    <x v="4"/>
    <x v="0"/>
    <x v="1"/>
    <d v="2026-07-26T00:00:00"/>
    <n v="345000"/>
    <n v="5"/>
    <n v="92"/>
    <s v="Experienced"/>
    <s v="Low"/>
    <n v="0.02"/>
    <s v="Unique"/>
    <x v="7"/>
  </r>
  <r>
    <n v="3101426"/>
    <s v="Ashwin"/>
    <x v="0"/>
    <x v="2"/>
    <x v="3"/>
    <x v="1"/>
    <x v="2"/>
    <d v="2026-06-02T00:00:00"/>
    <n v="355000"/>
    <n v="1"/>
    <n v="69"/>
    <s v="Fresher"/>
    <s v="Low"/>
    <n v="0.05"/>
    <s v="Unique"/>
    <x v="6"/>
  </r>
  <r>
    <n v="3101427"/>
    <s v="Rekha"/>
    <x v="7"/>
    <x v="3"/>
    <x v="4"/>
    <x v="3"/>
    <x v="3"/>
    <d v="2026-08-17T00:00:00"/>
    <n v="435000"/>
    <n v="5"/>
    <n v="81"/>
    <s v="Experienced"/>
    <s v="Low"/>
    <n v="0.01"/>
    <s v="Unique"/>
    <x v="8"/>
  </r>
  <r>
    <n v="3101428"/>
    <s v="Vishal"/>
    <x v="1"/>
    <x v="2"/>
    <x v="8"/>
    <x v="3"/>
    <x v="1"/>
    <d v="2026-07-04T00:00:00"/>
    <n v="415000"/>
    <n v="1"/>
    <n v="94"/>
    <s v="Fresher"/>
    <s v="Low"/>
    <n v="0.01"/>
    <s v="Unique"/>
    <x v="7"/>
  </r>
  <r>
    <n v="3101429"/>
    <s v="Anand"/>
    <x v="5"/>
    <x v="2"/>
    <x v="8"/>
    <x v="2"/>
    <x v="2"/>
    <d v="2026-07-23T00:00:00"/>
    <n v="480000"/>
    <n v="3"/>
    <n v="77"/>
    <s v="Mid Level"/>
    <s v="Medium"/>
    <n v="0.02"/>
    <s v="Unique"/>
    <x v="7"/>
  </r>
  <r>
    <n v="3101430"/>
    <s v="Vishal"/>
    <x v="0"/>
    <x v="1"/>
    <x v="6"/>
    <x v="0"/>
    <x v="0"/>
    <d v="2026-09-20T00:00:00"/>
    <n v="330000"/>
    <n v="1"/>
    <n v="72"/>
    <s v="Fresher"/>
    <s v="Low"/>
    <n v="0.02"/>
    <s v="Unique"/>
    <x v="4"/>
  </r>
  <r>
    <n v="3101431"/>
    <s v="Nikhil"/>
    <x v="6"/>
    <x v="0"/>
    <x v="10"/>
    <x v="3"/>
    <x v="2"/>
    <d v="2026-07-26T00:00:00"/>
    <n v="895000"/>
    <n v="1"/>
    <n v="90"/>
    <s v="Fresher"/>
    <s v="High"/>
    <n v="0.01"/>
    <s v="Unique"/>
    <x v="7"/>
  </r>
  <r>
    <n v="3101432"/>
    <s v="Reshma"/>
    <x v="4"/>
    <x v="0"/>
    <x v="0"/>
    <x v="1"/>
    <x v="1"/>
    <d v="2026-06-22T00:00:00"/>
    <n v="465000"/>
    <n v="4"/>
    <n v="74"/>
    <s v="Experienced"/>
    <s v="Medium"/>
    <n v="0.05"/>
    <s v="Unique"/>
    <x v="6"/>
  </r>
  <r>
    <n v="3101433"/>
    <s v="Riya"/>
    <x v="0"/>
    <x v="0"/>
    <x v="10"/>
    <x v="0"/>
    <x v="1"/>
    <d v="2026-06-27T00:00:00"/>
    <n v="565000"/>
    <n v="4"/>
    <n v="85"/>
    <s v="Experienced"/>
    <s v="Medium"/>
    <n v="0.02"/>
    <s v="Unique"/>
    <x v="6"/>
  </r>
  <r>
    <n v="3101434"/>
    <s v="Varsha"/>
    <x v="7"/>
    <x v="0"/>
    <x v="11"/>
    <x v="0"/>
    <x v="0"/>
    <d v="2026-07-11T00:00:00"/>
    <n v="430000"/>
    <n v="5"/>
    <n v="94"/>
    <s v="Experienced"/>
    <s v="Low"/>
    <n v="0.02"/>
    <s v="Unique"/>
    <x v="7"/>
  </r>
  <r>
    <n v="3101435"/>
    <s v="Sowmya"/>
    <x v="4"/>
    <x v="0"/>
    <x v="2"/>
    <x v="2"/>
    <x v="0"/>
    <d v="2026-09-21T00:00:00"/>
    <n v="435000"/>
    <n v="5"/>
    <n v="68"/>
    <s v="Experienced"/>
    <s v="Low"/>
    <n v="0.02"/>
    <s v="Unique"/>
    <x v="4"/>
  </r>
  <r>
    <n v="3101436"/>
    <s v="Varsha"/>
    <x v="7"/>
    <x v="3"/>
    <x v="4"/>
    <x v="0"/>
    <x v="0"/>
    <d v="2026-08-07T00:00:00"/>
    <n v="370000"/>
    <n v="1"/>
    <n v="87"/>
    <s v="Fresher"/>
    <s v="Low"/>
    <n v="0.02"/>
    <s v="Unique"/>
    <x v="8"/>
  </r>
  <r>
    <n v="3101437"/>
    <s v="Yamini"/>
    <x v="6"/>
    <x v="2"/>
    <x v="3"/>
    <x v="2"/>
    <x v="2"/>
    <d v="2026-09-08T00:00:00"/>
    <n v="445000"/>
    <n v="2"/>
    <n v="82"/>
    <s v="Mid Level"/>
    <s v="Low"/>
    <n v="0.02"/>
    <s v="Unique"/>
    <x v="4"/>
  </r>
  <r>
    <n v="3101438"/>
    <s v="Gautham"/>
    <x v="1"/>
    <x v="0"/>
    <x v="7"/>
    <x v="0"/>
    <x v="1"/>
    <d v="2026-08-20T00:00:00"/>
    <n v="470000"/>
    <n v="5"/>
    <n v="76"/>
    <s v="Experienced"/>
    <s v="Medium"/>
    <n v="0.02"/>
    <s v="Unique"/>
    <x v="8"/>
  </r>
  <r>
    <n v="3101439"/>
    <s v="Gokul"/>
    <x v="5"/>
    <x v="2"/>
    <x v="3"/>
    <x v="3"/>
    <x v="0"/>
    <d v="2026-06-09T00:00:00"/>
    <n v="405000"/>
    <n v="3"/>
    <n v="88"/>
    <s v="Mid Level"/>
    <s v="Low"/>
    <n v="0.01"/>
    <s v="Unique"/>
    <x v="6"/>
  </r>
  <r>
    <n v="3101440"/>
    <s v="Chaitanya"/>
    <x v="5"/>
    <x v="0"/>
    <x v="0"/>
    <x v="2"/>
    <x v="0"/>
    <d v="2026-08-20T00:00:00"/>
    <n v="590000"/>
    <n v="4"/>
    <n v="91"/>
    <s v="Experienced"/>
    <s v="Medium"/>
    <n v="0.02"/>
    <s v="Unique"/>
    <x v="8"/>
  </r>
  <r>
    <n v="3101441"/>
    <s v="Ashwin"/>
    <x v="4"/>
    <x v="0"/>
    <x v="7"/>
    <x v="1"/>
    <x v="1"/>
    <d v="2026-06-06T00:00:00"/>
    <n v="700000"/>
    <n v="1"/>
    <n v="69"/>
    <s v="Fresher"/>
    <s v="High"/>
    <n v="0.05"/>
    <s v="Unique"/>
    <x v="6"/>
  </r>
  <r>
    <n v="3101442"/>
    <s v="Madhavan"/>
    <x v="4"/>
    <x v="1"/>
    <x v="1"/>
    <x v="2"/>
    <x v="1"/>
    <d v="2026-06-06T00:00:00"/>
    <n v="405000"/>
    <n v="3"/>
    <n v="95"/>
    <s v="Mid Level"/>
    <s v="Low"/>
    <n v="0.02"/>
    <s v="Duplicate"/>
    <x v="6"/>
  </r>
  <r>
    <n v="3101443"/>
    <s v="Vishal"/>
    <x v="7"/>
    <x v="0"/>
    <x v="0"/>
    <x v="2"/>
    <x v="2"/>
    <d v="2026-07-06T00:00:00"/>
    <n v="510000"/>
    <n v="4"/>
    <n v="73"/>
    <s v="Experienced"/>
    <s v="Medium"/>
    <n v="0.02"/>
    <s v="Unique"/>
    <x v="7"/>
  </r>
  <r>
    <n v="3101444"/>
    <s v="Amrutha"/>
    <x v="2"/>
    <x v="0"/>
    <x v="7"/>
    <x v="1"/>
    <x v="3"/>
    <d v="2026-08-09T00:00:00"/>
    <n v="445000"/>
    <n v="5"/>
    <n v="84"/>
    <s v="Experienced"/>
    <s v="Low"/>
    <n v="0.05"/>
    <s v="Unique"/>
    <x v="8"/>
  </r>
  <r>
    <n v="3101445"/>
    <s v="Preethi"/>
    <x v="1"/>
    <x v="2"/>
    <x v="8"/>
    <x v="3"/>
    <x v="2"/>
    <d v="2026-05-22T00:00:00"/>
    <n v="460000"/>
    <n v="0"/>
    <n v="79"/>
    <s v="Fresher"/>
    <s v="Medium"/>
    <n v="0.01"/>
    <s v="Unique"/>
    <x v="5"/>
  </r>
  <r>
    <n v="3101446"/>
    <s v="Lakshmi"/>
    <x v="6"/>
    <x v="1"/>
    <x v="6"/>
    <x v="0"/>
    <x v="2"/>
    <d v="2026-07-10T00:00:00"/>
    <n v="485000"/>
    <n v="3"/>
    <n v="71"/>
    <s v="Mid Level"/>
    <s v="Medium"/>
    <n v="0.02"/>
    <s v="Unique"/>
    <x v="7"/>
  </r>
  <r>
    <n v="3101447"/>
    <s v="Yamini"/>
    <x v="4"/>
    <x v="3"/>
    <x v="4"/>
    <x v="2"/>
    <x v="2"/>
    <d v="2026-06-07T00:00:00"/>
    <n v="385000"/>
    <n v="4"/>
    <n v="89"/>
    <s v="Experienced"/>
    <s v="Low"/>
    <n v="0.02"/>
    <s v="Unique"/>
    <x v="6"/>
  </r>
  <r>
    <n v="3101448"/>
    <s v="Nandhini"/>
    <x v="4"/>
    <x v="1"/>
    <x v="6"/>
    <x v="2"/>
    <x v="3"/>
    <d v="2026-06-18T00:00:00"/>
    <n v="440000"/>
    <n v="1"/>
    <n v="67"/>
    <s v="Fresher"/>
    <s v="Low"/>
    <n v="0.02"/>
    <s v="Unique"/>
    <x v="6"/>
  </r>
  <r>
    <n v="3101449"/>
    <s v="Nikhil"/>
    <x v="1"/>
    <x v="0"/>
    <x v="0"/>
    <x v="3"/>
    <x v="0"/>
    <d v="2026-05-20T00:00:00"/>
    <n v="565000"/>
    <n v="3"/>
    <n v="86"/>
    <s v="Mid Level"/>
    <s v="Medium"/>
    <n v="0.01"/>
    <s v="Unique"/>
    <x v="5"/>
  </r>
  <r>
    <n v="3101450"/>
    <s v="Aishwarya"/>
    <x v="2"/>
    <x v="2"/>
    <x v="8"/>
    <x v="1"/>
    <x v="3"/>
    <d v="2026-06-08T00:00:00"/>
    <n v="510000"/>
    <n v="0"/>
    <n v="92"/>
    <s v="Fresher"/>
    <s v="Medium"/>
    <n v="0.05"/>
    <s v="Unique"/>
    <x v="6"/>
  </r>
  <r>
    <n v="3101451"/>
    <s v="Kiran"/>
    <x v="1"/>
    <x v="0"/>
    <x v="11"/>
    <x v="3"/>
    <x v="2"/>
    <d v="2026-05-28T00:00:00"/>
    <n v="505000"/>
    <n v="1"/>
    <n v="69"/>
    <s v="Fresher"/>
    <s v="Medium"/>
    <n v="0.01"/>
    <s v="Unique"/>
    <x v="5"/>
  </r>
  <r>
    <n v="3101452"/>
    <s v="Nikhil"/>
    <x v="4"/>
    <x v="3"/>
    <x v="9"/>
    <x v="1"/>
    <x v="1"/>
    <d v="2026-07-07T00:00:00"/>
    <n v="345000"/>
    <n v="5"/>
    <n v="81"/>
    <s v="Experienced"/>
    <s v="Low"/>
    <n v="0.05"/>
    <s v="Unique"/>
    <x v="7"/>
  </r>
  <r>
    <n v="3101453"/>
    <s v="Jeeva"/>
    <x v="0"/>
    <x v="0"/>
    <x v="10"/>
    <x v="3"/>
    <x v="3"/>
    <d v="2026-09-20T00:00:00"/>
    <n v="705000"/>
    <n v="4"/>
    <n v="94"/>
    <s v="Experienced"/>
    <s v="High"/>
    <n v="0.01"/>
    <s v="Unique"/>
    <x v="4"/>
  </r>
  <r>
    <n v="3101454"/>
    <s v="Keerthana"/>
    <x v="6"/>
    <x v="3"/>
    <x v="4"/>
    <x v="2"/>
    <x v="0"/>
    <d v="2026-09-22T00:00:00"/>
    <n v="310000"/>
    <n v="3"/>
    <n v="77"/>
    <s v="Mid Level"/>
    <s v="Low"/>
    <n v="0.02"/>
    <s v="Unique"/>
    <x v="4"/>
  </r>
  <r>
    <n v="3101455"/>
    <s v="Gokul"/>
    <x v="2"/>
    <x v="0"/>
    <x v="10"/>
    <x v="1"/>
    <x v="2"/>
    <d v="2026-07-18T00:00:00"/>
    <n v="875000"/>
    <n v="5"/>
    <n v="72"/>
    <s v="Experienced"/>
    <s v="High"/>
    <n v="0.05"/>
    <s v="Unique"/>
    <x v="7"/>
  </r>
  <r>
    <n v="3101456"/>
    <s v="Siddharth"/>
    <x v="0"/>
    <x v="2"/>
    <x v="8"/>
    <x v="0"/>
    <x v="0"/>
    <d v="2026-07-03T00:00:00"/>
    <n v="475000"/>
    <n v="5"/>
    <n v="90"/>
    <s v="Experienced"/>
    <s v="Medium"/>
    <n v="0.02"/>
    <s v="Unique"/>
    <x v="7"/>
  </r>
  <r>
    <n v="3101457"/>
    <s v="Rakesh"/>
    <x v="7"/>
    <x v="1"/>
    <x v="1"/>
    <x v="1"/>
    <x v="0"/>
    <d v="2026-08-27T00:00:00"/>
    <n v="470000"/>
    <n v="5"/>
    <n v="74"/>
    <s v="Experienced"/>
    <s v="Medium"/>
    <n v="0.05"/>
    <s v="Unique"/>
    <x v="8"/>
  </r>
  <r>
    <n v="3101458"/>
    <s v="Ananya"/>
    <x v="0"/>
    <x v="2"/>
    <x v="3"/>
    <x v="3"/>
    <x v="0"/>
    <d v="2026-07-03T00:00:00"/>
    <n v="410000"/>
    <n v="5"/>
    <n v="85"/>
    <s v="Experienced"/>
    <s v="Low"/>
    <n v="0.01"/>
    <s v="Unique"/>
    <x v="7"/>
  </r>
  <r>
    <n v="3101459"/>
    <s v="Maya"/>
    <x v="6"/>
    <x v="1"/>
    <x v="1"/>
    <x v="3"/>
    <x v="0"/>
    <d v="2026-09-15T00:00:00"/>
    <n v="460000"/>
    <n v="0"/>
    <n v="94"/>
    <s v="Fresher"/>
    <s v="Medium"/>
    <n v="0.01"/>
    <s v="Unique"/>
    <x v="4"/>
  </r>
  <r>
    <n v="3101460"/>
    <s v="Bharath"/>
    <x v="2"/>
    <x v="0"/>
    <x v="0"/>
    <x v="1"/>
    <x v="2"/>
    <d v="2026-05-22T00:00:00"/>
    <n v="530000"/>
    <n v="4"/>
    <n v="68"/>
    <s v="Experienced"/>
    <s v="Medium"/>
    <n v="0.05"/>
    <s v="Unique"/>
    <x v="5"/>
  </r>
  <r>
    <n v="3101461"/>
    <s v="Chaitanya"/>
    <x v="1"/>
    <x v="0"/>
    <x v="0"/>
    <x v="0"/>
    <x v="1"/>
    <d v="2026-06-09T00:00:00"/>
    <n v="560000"/>
    <n v="2"/>
    <n v="87"/>
    <s v="Mid Level"/>
    <s v="Medium"/>
    <n v="0.02"/>
    <s v="Unique"/>
    <x v="6"/>
  </r>
  <r>
    <n v="3101462"/>
    <s v="Amal"/>
    <x v="0"/>
    <x v="2"/>
    <x v="8"/>
    <x v="3"/>
    <x v="2"/>
    <d v="2026-07-08T00:00:00"/>
    <n v="425000"/>
    <n v="5"/>
    <n v="82"/>
    <s v="Experienced"/>
    <s v="Low"/>
    <n v="0.01"/>
    <s v="Unique"/>
    <x v="7"/>
  </r>
  <r>
    <n v="3101463"/>
    <s v="Rakesh"/>
    <x v="0"/>
    <x v="3"/>
    <x v="4"/>
    <x v="2"/>
    <x v="3"/>
    <d v="2026-05-25T00:00:00"/>
    <n v="280000"/>
    <n v="0"/>
    <n v="76"/>
    <s v="Fresher"/>
    <s v="Low"/>
    <n v="0.02"/>
    <s v="Unique"/>
    <x v="5"/>
  </r>
  <r>
    <n v="3101464"/>
    <s v="Shreya"/>
    <x v="0"/>
    <x v="0"/>
    <x v="10"/>
    <x v="1"/>
    <x v="2"/>
    <d v="2026-07-17T00:00:00"/>
    <n v="835000"/>
    <n v="2"/>
    <n v="88"/>
    <s v="Mid Level"/>
    <s v="High"/>
    <n v="0.05"/>
    <s v="Unique"/>
    <x v="7"/>
  </r>
  <r>
    <n v="3101465"/>
    <s v="Akshaya"/>
    <x v="0"/>
    <x v="2"/>
    <x v="8"/>
    <x v="0"/>
    <x v="3"/>
    <d v="2026-08-09T00:00:00"/>
    <n v="505000"/>
    <n v="2"/>
    <n v="91"/>
    <s v="Mid Level"/>
    <s v="Medium"/>
    <n v="0.02"/>
    <s v="Unique"/>
    <x v="8"/>
  </r>
  <r>
    <n v="3101466"/>
    <s v="Sanjana"/>
    <x v="3"/>
    <x v="0"/>
    <x v="2"/>
    <x v="3"/>
    <x v="1"/>
    <d v="2026-05-27T00:00:00"/>
    <n v="625000"/>
    <n v="2"/>
    <n v="69"/>
    <s v="Mid Level"/>
    <s v="High"/>
    <n v="0.01"/>
    <s v="Unique"/>
    <x v="5"/>
  </r>
  <r>
    <n v="3101467"/>
    <s v="Pranav"/>
    <x v="0"/>
    <x v="0"/>
    <x v="5"/>
    <x v="3"/>
    <x v="1"/>
    <d v="2026-05-23T00:00:00"/>
    <n v="615000"/>
    <n v="5"/>
    <n v="95"/>
    <s v="Experienced"/>
    <s v="High"/>
    <n v="0.01"/>
    <s v="Unique"/>
    <x v="5"/>
  </r>
  <r>
    <n v="3101468"/>
    <s v="Bharath"/>
    <x v="1"/>
    <x v="2"/>
    <x v="8"/>
    <x v="3"/>
    <x v="0"/>
    <d v="2026-07-23T00:00:00"/>
    <n v="485000"/>
    <n v="2"/>
    <n v="73"/>
    <s v="Mid Level"/>
    <s v="Medium"/>
    <n v="0.01"/>
    <s v="Unique"/>
    <x v="7"/>
  </r>
  <r>
    <n v="3101469"/>
    <s v="Jeeva"/>
    <x v="0"/>
    <x v="0"/>
    <x v="11"/>
    <x v="2"/>
    <x v="2"/>
    <d v="2026-07-11T00:00:00"/>
    <n v="590000"/>
    <n v="3"/>
    <n v="84"/>
    <s v="Mid Level"/>
    <s v="Medium"/>
    <n v="0.02"/>
    <s v="Unique"/>
    <x v="7"/>
  </r>
  <r>
    <n v="3101470"/>
    <s v="Tejas"/>
    <x v="0"/>
    <x v="0"/>
    <x v="2"/>
    <x v="0"/>
    <x v="0"/>
    <d v="2026-05-30T00:00:00"/>
    <n v="635000"/>
    <n v="5"/>
    <n v="79"/>
    <s v="Experienced"/>
    <s v="High"/>
    <n v="0.02"/>
    <s v="Unique"/>
    <x v="5"/>
  </r>
  <r>
    <n v="3101056"/>
    <s v="Aravind"/>
    <x v="1"/>
    <x v="0"/>
    <x v="7"/>
    <x v="0"/>
    <x v="1"/>
    <d v="2026-05-27T00:00:00"/>
    <n v="755000"/>
    <n v="5"/>
    <n v="71"/>
    <s v="Experienced"/>
    <s v="High"/>
    <n v="0.02"/>
    <s v="Duplicate"/>
    <x v="5"/>
  </r>
  <r>
    <n v="3101118"/>
    <s v="Ananya"/>
    <x v="4"/>
    <x v="0"/>
    <x v="11"/>
    <x v="0"/>
    <x v="1"/>
    <d v="2026-07-30T00:00:00"/>
    <n v="680000"/>
    <n v="4"/>
    <n v="89"/>
    <s v="Experienced"/>
    <s v="High"/>
    <n v="0.02"/>
    <s v="Duplicate"/>
    <x v="7"/>
  </r>
  <r>
    <n v="3101185"/>
    <s v="Kiran"/>
    <x v="6"/>
    <x v="0"/>
    <x v="0"/>
    <x v="0"/>
    <x v="0"/>
    <d v="2026-08-09T00:00:00"/>
    <n v="495000"/>
    <n v="0"/>
    <n v="67"/>
    <s v="Fresher"/>
    <s v="Medium"/>
    <n v="0.02"/>
    <s v="Duplicate"/>
    <x v="8"/>
  </r>
  <r>
    <n v="3101272"/>
    <s v="Lakshmi"/>
    <x v="3"/>
    <x v="0"/>
    <x v="2"/>
    <x v="1"/>
    <x v="2"/>
    <d v="2026-08-23T00:00:00"/>
    <n v="520000"/>
    <n v="3"/>
    <n v="86"/>
    <s v="Mid Level"/>
    <s v="Medium"/>
    <n v="0.05"/>
    <s v="Duplicate"/>
    <x v="8"/>
  </r>
  <r>
    <n v="3101359"/>
    <s v="Sanjana"/>
    <x v="6"/>
    <x v="3"/>
    <x v="4"/>
    <x v="2"/>
    <x v="1"/>
    <d v="2026-08-10T00:00:00"/>
    <n v="340000"/>
    <n v="5"/>
    <n v="92"/>
    <s v="Experienced"/>
    <s v="Low"/>
    <n v="0.02"/>
    <s v="Duplicate"/>
    <x v="8"/>
  </r>
  <r>
    <n v="3101442"/>
    <s v="Madhavan"/>
    <x v="4"/>
    <x v="1"/>
    <x v="1"/>
    <x v="2"/>
    <x v="1"/>
    <d v="2026-06-06T00:00:00"/>
    <n v="405000"/>
    <n v="3"/>
    <n v="69"/>
    <s v="Mid Level"/>
    <s v="Low"/>
    <n v="0.02"/>
    <s v="Duplicate"/>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D7B412-0435-41BF-ACFA-8E3CBF0082F6}" name="PivotTable9" cacheId="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33:B46" firstHeaderRow="1" firstDataRow="1" firstDataCol="1" rowPageCount="1" colPageCount="1"/>
  <pivotFields count="16">
    <pivotField dataField="1" showAll="0"/>
    <pivotField showAll="0"/>
    <pivotField showAll="0">
      <items count="9">
        <item x="0"/>
        <item x="1"/>
        <item x="5"/>
        <item x="4"/>
        <item x="2"/>
        <item x="7"/>
        <item x="6"/>
        <item x="3"/>
        <item t="default"/>
      </items>
    </pivotField>
    <pivotField showAll="0">
      <items count="5">
        <item x="2"/>
        <item x="1"/>
        <item x="0"/>
        <item x="3"/>
        <item t="default"/>
      </items>
    </pivotField>
    <pivotField axis="axisRow" showAll="0">
      <items count="13">
        <item x="11"/>
        <item x="0"/>
        <item x="10"/>
        <item x="8"/>
        <item x="1"/>
        <item x="3"/>
        <item x="5"/>
        <item x="4"/>
        <item x="9"/>
        <item x="2"/>
        <item x="6"/>
        <item x="7"/>
        <item t="default"/>
      </items>
    </pivotField>
    <pivotField showAll="0">
      <items count="5">
        <item x="1"/>
        <item x="3"/>
        <item x="2"/>
        <item x="0"/>
        <item t="default"/>
      </items>
    </pivotField>
    <pivotField axis="axisPage" showAll="0">
      <items count="5">
        <item x="3"/>
        <item x="1"/>
        <item x="2"/>
        <item x="0"/>
        <item t="default"/>
      </items>
    </pivotField>
    <pivotField numFmtId="15" showAll="0"/>
    <pivotField showAll="0"/>
    <pivotField showAll="0"/>
    <pivotField numFmtId="1" showAll="0"/>
    <pivotField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pageFields count="1">
    <pageField fld="6" hier="-1"/>
  </pageFields>
  <dataFields count="1">
    <dataField name="Count of Applicant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3067BC-DF66-4DB5-9E41-454103096525}"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7:B87" firstHeaderRow="1" firstDataRow="1" firstDataCol="1" rowPageCount="1" colPageCount="1"/>
  <pivotFields count="16">
    <pivotField dataField="1" showAll="0"/>
    <pivotField showAll="0"/>
    <pivotField showAll="0">
      <items count="9">
        <item x="0"/>
        <item x="1"/>
        <item x="5"/>
        <item x="4"/>
        <item x="2"/>
        <item x="7"/>
        <item x="6"/>
        <item x="3"/>
        <item t="default"/>
      </items>
    </pivotField>
    <pivotField showAll="0">
      <items count="5">
        <item x="2"/>
        <item x="1"/>
        <item x="0"/>
        <item x="3"/>
        <item t="default"/>
      </items>
    </pivotField>
    <pivotField showAll="0"/>
    <pivotField showAll="0">
      <items count="5">
        <item x="1"/>
        <item x="3"/>
        <item x="2"/>
        <item x="0"/>
        <item t="default"/>
      </items>
    </pivotField>
    <pivotField axis="axisPage" showAll="0">
      <items count="5">
        <item x="3"/>
        <item x="1"/>
        <item x="2"/>
        <item x="0"/>
        <item t="default"/>
      </items>
    </pivotField>
    <pivotField numFmtId="15" showAll="0"/>
    <pivotField showAll="0"/>
    <pivotField showAll="0"/>
    <pivotField numFmtId="1" showAll="0"/>
    <pivotField showAll="0"/>
    <pivotField showAll="0"/>
    <pivotField showAll="0"/>
    <pivotField showAll="0"/>
    <pivotField axis="axisRow" showAll="0">
      <items count="10">
        <item x="0"/>
        <item x="1"/>
        <item x="2"/>
        <item x="3"/>
        <item x="5"/>
        <item x="6"/>
        <item x="7"/>
        <item x="8"/>
        <item x="4"/>
        <item t="default"/>
      </items>
    </pivotField>
  </pivotFields>
  <rowFields count="1">
    <field x="15"/>
  </rowFields>
  <rowItems count="10">
    <i>
      <x/>
    </i>
    <i>
      <x v="1"/>
    </i>
    <i>
      <x v="2"/>
    </i>
    <i>
      <x v="3"/>
    </i>
    <i>
      <x v="4"/>
    </i>
    <i>
      <x v="5"/>
    </i>
    <i>
      <x v="6"/>
    </i>
    <i>
      <x v="7"/>
    </i>
    <i>
      <x v="8"/>
    </i>
    <i t="grand">
      <x/>
    </i>
  </rowItems>
  <colItems count="1">
    <i/>
  </colItems>
  <pageFields count="1">
    <pageField fld="6" hier="-1"/>
  </pageFields>
  <dataFields count="1">
    <dataField name="Count of Applicant ID" fld="0" subtotal="count" baseField="0" baseItem="0"/>
  </dataFields>
  <chartFormats count="9">
    <chartFormat chart="0" format="0" series="1">
      <pivotArea type="data" outline="0" fieldPosition="0">
        <references count="1">
          <reference field="4294967294" count="1" selected="0">
            <x v="0"/>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15" count="1" selected="0">
            <x v="1"/>
          </reference>
        </references>
      </pivotArea>
    </chartFormat>
    <chartFormat chart="7" format="20">
      <pivotArea type="data" outline="0" fieldPosition="0">
        <references count="2">
          <reference field="4294967294" count="1" selected="0">
            <x v="0"/>
          </reference>
          <reference field="15" count="1" selected="0">
            <x v="2"/>
          </reference>
        </references>
      </pivotArea>
    </chartFormat>
    <chartFormat chart="7" format="21">
      <pivotArea type="data" outline="0" fieldPosition="0">
        <references count="2">
          <reference field="4294967294" count="1" selected="0">
            <x v="0"/>
          </reference>
          <reference field="15" count="1" selected="0">
            <x v="3"/>
          </reference>
        </references>
      </pivotArea>
    </chartFormat>
    <chartFormat chart="7" format="22">
      <pivotArea type="data" outline="0" fieldPosition="0">
        <references count="2">
          <reference field="4294967294" count="1" selected="0">
            <x v="0"/>
          </reference>
          <reference field="15" count="1" selected="0">
            <x v="4"/>
          </reference>
        </references>
      </pivotArea>
    </chartFormat>
    <chartFormat chart="7" format="23">
      <pivotArea type="data" outline="0" fieldPosition="0">
        <references count="2">
          <reference field="4294967294" count="1" selected="0">
            <x v="0"/>
          </reference>
          <reference field="15" count="1" selected="0">
            <x v="5"/>
          </reference>
        </references>
      </pivotArea>
    </chartFormat>
    <chartFormat chart="7" format="24">
      <pivotArea type="data" outline="0" fieldPosition="0">
        <references count="2">
          <reference field="4294967294" count="1" selected="0">
            <x v="0"/>
          </reference>
          <reference field="15" count="1" selected="0">
            <x v="7"/>
          </reference>
        </references>
      </pivotArea>
    </chartFormat>
    <chartFormat chart="7" format="25">
      <pivotArea type="data" outline="0" fieldPosition="0">
        <references count="2">
          <reference field="4294967294" count="1" selected="0">
            <x v="0"/>
          </reference>
          <reference field="1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0F7C5E-1B1F-446C-AC9F-B53920F83CFB}"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0:B65" firstHeaderRow="1" firstDataRow="1" firstDataCol="1"/>
  <pivotFields count="16">
    <pivotField dataField="1" showAll="0"/>
    <pivotField showAll="0"/>
    <pivotField showAll="0">
      <items count="9">
        <item x="0"/>
        <item x="1"/>
        <item x="5"/>
        <item x="4"/>
        <item x="2"/>
        <item x="7"/>
        <item x="6"/>
        <item x="3"/>
        <item t="default"/>
      </items>
    </pivotField>
    <pivotField showAll="0">
      <items count="5">
        <item x="2"/>
        <item x="1"/>
        <item x="0"/>
        <item x="3"/>
        <item t="default"/>
      </items>
    </pivotField>
    <pivotField showAll="0"/>
    <pivotField showAll="0">
      <items count="5">
        <item x="1"/>
        <item x="3"/>
        <item x="2"/>
        <item x="0"/>
        <item t="default"/>
      </items>
    </pivotField>
    <pivotField axis="axisRow" showAll="0">
      <items count="5">
        <item x="3"/>
        <item x="1"/>
        <item x="2"/>
        <item x="0"/>
        <item t="default"/>
      </items>
    </pivotField>
    <pivotField numFmtId="15" showAll="0"/>
    <pivotField showAll="0"/>
    <pivotField showAll="0"/>
    <pivotField numFmtId="1"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ount of Applicant ID" fld="0" subtotal="count" baseField="0" baseItem="0"/>
  </dataFields>
  <chartFormats count="10">
    <chartFormat chart="0" format="0"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6" count="1" selected="0">
            <x v="0"/>
          </reference>
        </references>
      </pivotArea>
    </chartFormat>
    <chartFormat chart="7" format="18">
      <pivotArea type="data" outline="0" fieldPosition="0">
        <references count="2">
          <reference field="4294967294" count="1" selected="0">
            <x v="0"/>
          </reference>
          <reference field="6" count="1" selected="0">
            <x v="1"/>
          </reference>
        </references>
      </pivotArea>
    </chartFormat>
    <chartFormat chart="7" format="19">
      <pivotArea type="data" outline="0" fieldPosition="0">
        <references count="2">
          <reference field="4294967294" count="1" selected="0">
            <x v="0"/>
          </reference>
          <reference field="6" count="1" selected="0">
            <x v="2"/>
          </reference>
        </references>
      </pivotArea>
    </chartFormat>
    <chartFormat chart="7" format="20">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750FD9-65DC-4B4F-AE8A-22984C96BF8E}"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1:B56" firstHeaderRow="1" firstDataRow="1" firstDataCol="1"/>
  <pivotFields count="16">
    <pivotField showAll="0"/>
    <pivotField showAll="0"/>
    <pivotField showAll="0">
      <items count="9">
        <item x="0"/>
        <item x="1"/>
        <item x="5"/>
        <item x="4"/>
        <item x="2"/>
        <item x="7"/>
        <item x="6"/>
        <item x="3"/>
        <item t="default"/>
      </items>
    </pivotField>
    <pivotField showAll="0">
      <items count="5">
        <item x="2"/>
        <item x="1"/>
        <item x="0"/>
        <item x="3"/>
        <item t="default"/>
      </items>
    </pivotField>
    <pivotField showAll="0"/>
    <pivotField axis="axisRow" showAll="0">
      <items count="5">
        <item x="1"/>
        <item x="3"/>
        <item x="2"/>
        <item x="0"/>
        <item t="default"/>
      </items>
    </pivotField>
    <pivotField showAll="0">
      <items count="5">
        <item x="3"/>
        <item x="1"/>
        <item x="2"/>
        <item x="0"/>
        <item t="default"/>
      </items>
    </pivotField>
    <pivotField numFmtId="15" showAll="0"/>
    <pivotField showAll="0"/>
    <pivotField showAll="0"/>
    <pivotField numFmtId="1" showAll="0"/>
    <pivotField showAll="0"/>
    <pivotField showAll="0"/>
    <pivotField dataField="1" showAll="0"/>
    <pivotField showAll="0"/>
    <pivotField showAll="0"/>
  </pivotFields>
  <rowFields count="1">
    <field x="5"/>
  </rowFields>
  <rowItems count="5">
    <i>
      <x/>
    </i>
    <i>
      <x v="1"/>
    </i>
    <i>
      <x v="2"/>
    </i>
    <i>
      <x v="3"/>
    </i>
    <i t="grand">
      <x/>
    </i>
  </rowItems>
  <colItems count="1">
    <i/>
  </colItems>
  <dataFields count="1">
    <dataField name="Count of Incentives" fld="13" subtotal="count" baseField="0" baseItem="0"/>
  </dataFields>
  <chartFormats count="7">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5" count="1" selected="0">
            <x v="0"/>
          </reference>
        </references>
      </pivotArea>
    </chartFormat>
    <chartFormat chart="13" format="15">
      <pivotArea type="data" outline="0" fieldPosition="0">
        <references count="2">
          <reference field="4294967294" count="1" selected="0">
            <x v="0"/>
          </reference>
          <reference field="5" count="1" selected="0">
            <x v="2"/>
          </reference>
        </references>
      </pivotArea>
    </chartFormat>
    <chartFormat chart="13" format="16">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2C93B7-8738-45AF-9B23-1F7FC5B7024D}"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0:B25" firstHeaderRow="1" firstDataRow="1" firstDataCol="1"/>
  <pivotFields count="16">
    <pivotField showAll="0"/>
    <pivotField showAll="0"/>
    <pivotField showAll="0">
      <items count="9">
        <item x="0"/>
        <item x="1"/>
        <item x="5"/>
        <item x="4"/>
        <item x="2"/>
        <item x="7"/>
        <item x="6"/>
        <item x="3"/>
        <item t="default"/>
      </items>
    </pivotField>
    <pivotField axis="axisRow" showAll="0">
      <items count="5">
        <item x="2"/>
        <item x="1"/>
        <item x="0"/>
        <item x="3"/>
        <item t="default"/>
      </items>
    </pivotField>
    <pivotField showAll="0"/>
    <pivotField showAll="0">
      <items count="5">
        <item x="1"/>
        <item x="3"/>
        <item x="2"/>
        <item x="0"/>
        <item t="default"/>
      </items>
    </pivotField>
    <pivotField showAll="0">
      <items count="5">
        <item x="3"/>
        <item x="1"/>
        <item x="2"/>
        <item x="0"/>
        <item t="default"/>
      </items>
    </pivotField>
    <pivotField numFmtId="15" showAll="0"/>
    <pivotField dataField="1" showAll="0"/>
    <pivotField showAll="0"/>
    <pivotField numFmtId="1"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Avg of Salary Expected" fld="8" subtotal="average" baseField="0" baseItem="0"/>
  </dataFields>
  <chartFormats count="5">
    <chartFormat chart="0" format="0"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3" count="1" selected="0">
            <x v="0"/>
          </reference>
        </references>
      </pivotArea>
    </chartFormat>
    <chartFormat chart="25" format="14">
      <pivotArea type="data" outline="0" fieldPosition="0">
        <references count="2">
          <reference field="4294967294" count="1" selected="0">
            <x v="0"/>
          </reference>
          <reference field="3" count="1" selected="0">
            <x v="1"/>
          </reference>
        </references>
      </pivotArea>
    </chartFormat>
    <chartFormat chart="25" format="1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07FA6A-A13F-4DCF-874B-4BFCD75F58D3}"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2" firstHeaderRow="1" firstDataRow="1" firstDataCol="1"/>
  <pivotFields count="16">
    <pivotField dataField="1" showAll="0"/>
    <pivotField showAll="0"/>
    <pivotField axis="axisRow" showAll="0">
      <items count="9">
        <item x="0"/>
        <item x="1"/>
        <item x="5"/>
        <item x="4"/>
        <item x="2"/>
        <item x="7"/>
        <item x="6"/>
        <item x="3"/>
        <item t="default"/>
      </items>
    </pivotField>
    <pivotField showAll="0">
      <items count="5">
        <item x="2"/>
        <item x="1"/>
        <item x="0"/>
        <item x="3"/>
        <item t="default"/>
      </items>
    </pivotField>
    <pivotField showAll="0"/>
    <pivotField showAll="0">
      <items count="5">
        <item x="1"/>
        <item x="3"/>
        <item x="2"/>
        <item x="0"/>
        <item t="default"/>
      </items>
    </pivotField>
    <pivotField showAll="0">
      <items count="5">
        <item x="3"/>
        <item x="1"/>
        <item x="2"/>
        <item x="0"/>
        <item t="default"/>
      </items>
    </pivotField>
    <pivotField numFmtId="15" showAll="0"/>
    <pivotField showAll="0"/>
    <pivotField showAll="0"/>
    <pivotField numFmtId="1"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Applicant ID" fld="0" subtotal="count" baseField="0" baseItem="0"/>
  </dataFields>
  <chartFormats count="9">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2" count="1" selected="0">
            <x v="2"/>
          </reference>
        </references>
      </pivotArea>
    </chartFormat>
    <chartFormat chart="13" format="18">
      <pivotArea type="data" outline="0" fieldPosition="0">
        <references count="2">
          <reference field="4294967294" count="1" selected="0">
            <x v="0"/>
          </reference>
          <reference field="2" count="1" selected="0">
            <x v="3"/>
          </reference>
        </references>
      </pivotArea>
    </chartFormat>
    <chartFormat chart="13" format="19">
      <pivotArea type="data" outline="0" fieldPosition="0">
        <references count="2">
          <reference field="4294967294" count="1" selected="0">
            <x v="0"/>
          </reference>
          <reference field="2" count="1" selected="0">
            <x v="4"/>
          </reference>
        </references>
      </pivotArea>
    </chartFormat>
    <chartFormat chart="13" format="20">
      <pivotArea type="data" outline="0" fieldPosition="0">
        <references count="2">
          <reference field="4294967294" count="1" selected="0">
            <x v="0"/>
          </reference>
          <reference field="2" count="1" selected="0">
            <x v="5"/>
          </reference>
        </references>
      </pivotArea>
    </chartFormat>
    <chartFormat chart="13" format="21">
      <pivotArea type="data" outline="0" fieldPosition="0">
        <references count="2">
          <reference field="4294967294" count="1" selected="0">
            <x v="0"/>
          </reference>
          <reference field="2" count="1" selected="0">
            <x v="6"/>
          </reference>
        </references>
      </pivotArea>
    </chartFormat>
    <chartFormat chart="13" format="22">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E69C49-5759-49C7-93EE-33338EF1879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8:G130" firstHeaderRow="0" firstDataRow="1" firstDataCol="1"/>
  <pivotFields count="10">
    <pivotField dataField="1" showAll="0"/>
    <pivotField showAll="0"/>
    <pivotField axis="axisRow" showAll="0">
      <items count="5">
        <item x="0"/>
        <item x="1"/>
        <item x="2"/>
        <item x="3"/>
        <item t="default"/>
      </items>
    </pivotField>
    <pivotField showAll="0"/>
    <pivotField axis="axisRow" showAll="0">
      <items count="8">
        <item x="0"/>
        <item x="1"/>
        <item x="3"/>
        <item x="5"/>
        <item x="4"/>
        <item x="2"/>
        <item x="6"/>
        <item t="default"/>
      </items>
    </pivotField>
    <pivotField showAll="0"/>
    <pivotField showAll="0"/>
    <pivotField numFmtId="15" showAll="0"/>
    <pivotField dataField="1" showAll="0"/>
    <pivotField showAll="0"/>
  </pivotFields>
  <rowFields count="2">
    <field x="2"/>
    <field x="4"/>
  </rowFields>
  <rowItems count="22">
    <i>
      <x/>
    </i>
    <i r="1">
      <x/>
    </i>
    <i r="1">
      <x v="1"/>
    </i>
    <i r="1">
      <x v="2"/>
    </i>
    <i r="1">
      <x v="3"/>
    </i>
    <i r="1">
      <x v="4"/>
    </i>
    <i r="1">
      <x v="5"/>
    </i>
    <i r="1">
      <x v="6"/>
    </i>
    <i>
      <x v="1"/>
    </i>
    <i r="1">
      <x/>
    </i>
    <i r="1">
      <x v="1"/>
    </i>
    <i r="1">
      <x v="4"/>
    </i>
    <i r="1">
      <x v="5"/>
    </i>
    <i>
      <x v="2"/>
    </i>
    <i r="1">
      <x/>
    </i>
    <i r="1">
      <x v="2"/>
    </i>
    <i r="1">
      <x v="3"/>
    </i>
    <i>
      <x v="3"/>
    </i>
    <i r="1">
      <x/>
    </i>
    <i r="1">
      <x v="5"/>
    </i>
    <i r="1">
      <x v="6"/>
    </i>
    <i t="grand">
      <x/>
    </i>
  </rowItems>
  <colFields count="1">
    <field x="-2"/>
  </colFields>
  <colItems count="2">
    <i>
      <x/>
    </i>
    <i i="1">
      <x v="1"/>
    </i>
  </colItems>
  <dataFields count="2">
    <dataField name="Average of Salary Expected" fld="8" subtotal="average" baseField="2" baseItem="0"/>
    <dataField name="Count of Applicant ID" fld="0" subtotal="count" baseField="2" baseItem="0"/>
  </dataFields>
  <formats count="21">
    <format dxfId="29">
      <pivotArea type="all" dataOnly="0" outline="0" fieldPosition="0"/>
    </format>
    <format dxfId="28">
      <pivotArea outline="0" collapsedLevelsAreSubtotals="1" fieldPosition="0"/>
    </format>
    <format dxfId="27">
      <pivotArea dataOnly="0" labelOnly="1" outline="0" fieldPosition="0">
        <references count="1">
          <reference field="4294967294" count="2">
            <x v="0"/>
            <x v="1"/>
          </reference>
        </references>
      </pivotArea>
    </format>
    <format dxfId="26">
      <pivotArea field="2" type="button" dataOnly="0" labelOnly="1" outline="0" axis="axisRow" fieldPosition="0"/>
    </format>
    <format dxfId="25">
      <pivotArea dataOnly="0" labelOnly="1" fieldPosition="0">
        <references count="1">
          <reference field="2" count="0"/>
        </references>
      </pivotArea>
    </format>
    <format dxfId="24">
      <pivotArea dataOnly="0" labelOnly="1" grandRow="1" outline="0" fieldPosition="0"/>
    </format>
    <format dxfId="23">
      <pivotArea dataOnly="0" labelOnly="1" fieldPosition="0">
        <references count="2">
          <reference field="2" count="1" selected="0">
            <x v="0"/>
          </reference>
          <reference field="4" count="0"/>
        </references>
      </pivotArea>
    </format>
    <format dxfId="22">
      <pivotArea dataOnly="0" labelOnly="1" fieldPosition="0">
        <references count="2">
          <reference field="2" count="1" selected="0">
            <x v="1"/>
          </reference>
          <reference field="4" count="4">
            <x v="0"/>
            <x v="1"/>
            <x v="4"/>
            <x v="5"/>
          </reference>
        </references>
      </pivotArea>
    </format>
    <format dxfId="21">
      <pivotArea dataOnly="0" labelOnly="1" fieldPosition="0">
        <references count="2">
          <reference field="2" count="1" selected="0">
            <x v="2"/>
          </reference>
          <reference field="4" count="3">
            <x v="0"/>
            <x v="2"/>
            <x v="3"/>
          </reference>
        </references>
      </pivotArea>
    </format>
    <format dxfId="20">
      <pivotArea dataOnly="0" labelOnly="1" fieldPosition="0">
        <references count="2">
          <reference field="2" count="1" selected="0">
            <x v="3"/>
          </reference>
          <reference field="4" count="3">
            <x v="0"/>
            <x v="5"/>
            <x v="6"/>
          </reference>
        </references>
      </pivotArea>
    </format>
    <format dxfId="19">
      <pivotArea outline="0" collapsedLevelsAreSubtotals="1" fieldPosition="0">
        <references count="1">
          <reference field="4294967294" count="1" selected="0">
            <x v="0"/>
          </reference>
        </references>
      </pivotArea>
    </format>
    <format dxfId="18">
      <pivotArea dataOnly="0" labelOnly="1" outline="0" fieldPosition="0">
        <references count="1">
          <reference field="4294967294" count="1">
            <x v="0"/>
          </reference>
        </references>
      </pivotArea>
    </format>
    <format dxfId="17">
      <pivotArea outline="0" collapsedLevelsAreSubtotals="1" fieldPosition="0">
        <references count="1">
          <reference field="4294967294" count="1" selected="0">
            <x v="1"/>
          </reference>
        </references>
      </pivotArea>
    </format>
    <format dxfId="16">
      <pivotArea dataOnly="0" labelOnly="1" outline="0" fieldPosition="0">
        <references count="1">
          <reference field="4294967294" count="1">
            <x v="1"/>
          </reference>
        </references>
      </pivotArea>
    </format>
    <format dxfId="15">
      <pivotArea outline="0" collapsedLevelsAreSubtotals="1" fieldPosition="0"/>
    </format>
    <format dxfId="14">
      <pivotArea dataOnly="0" labelOnly="1" fieldPosition="0">
        <references count="1">
          <reference field="2" count="0"/>
        </references>
      </pivotArea>
    </format>
    <format dxfId="13">
      <pivotArea dataOnly="0" labelOnly="1" grandRow="1" outline="0" fieldPosition="0"/>
    </format>
    <format dxfId="12">
      <pivotArea dataOnly="0" labelOnly="1" fieldPosition="0">
        <references count="2">
          <reference field="2" count="1" selected="0">
            <x v="0"/>
          </reference>
          <reference field="4" count="0"/>
        </references>
      </pivotArea>
    </format>
    <format dxfId="11">
      <pivotArea dataOnly="0" labelOnly="1" fieldPosition="0">
        <references count="2">
          <reference field="2" count="1" selected="0">
            <x v="1"/>
          </reference>
          <reference field="4" count="4">
            <x v="0"/>
            <x v="1"/>
            <x v="4"/>
            <x v="5"/>
          </reference>
        </references>
      </pivotArea>
    </format>
    <format dxfId="10">
      <pivotArea dataOnly="0" labelOnly="1" fieldPosition="0">
        <references count="2">
          <reference field="2" count="1" selected="0">
            <x v="2"/>
          </reference>
          <reference field="4" count="3">
            <x v="0"/>
            <x v="2"/>
            <x v="3"/>
          </reference>
        </references>
      </pivotArea>
    </format>
    <format dxfId="9">
      <pivotArea dataOnly="0" labelOnly="1" fieldPosition="0">
        <references count="2">
          <reference field="2" count="1" selected="0">
            <x v="3"/>
          </reference>
          <reference field="4" count="3">
            <x v="0"/>
            <x v="5"/>
            <x v="6"/>
          </reference>
        </references>
      </pivotArea>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5BCB94-1226-4046-9A21-B72715423CE3}"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19:D222" firstHeaderRow="1" firstDataRow="1" firstDataCol="1"/>
  <pivotFields count="10">
    <pivotField dataField="1" showAll="0"/>
    <pivotField showAll="0"/>
    <pivotField axis="axisRow" showAll="0">
      <items count="5">
        <item x="0"/>
        <item h="1" x="1"/>
        <item h="1" x="2"/>
        <item h="1" x="3"/>
        <item t="default"/>
      </items>
    </pivotField>
    <pivotField axis="axisRow" showAll="0">
      <items count="5">
        <item h="1" x="1"/>
        <item h="1" x="2"/>
        <item x="0"/>
        <item h="1" x="3"/>
        <item t="default"/>
      </items>
    </pivotField>
    <pivotField showAll="0"/>
    <pivotField showAll="0"/>
    <pivotField numFmtId="15" showAll="0"/>
    <pivotField showAll="0"/>
    <pivotField showAll="0"/>
    <pivotField showAll="0"/>
  </pivotFields>
  <rowFields count="2">
    <field x="2"/>
    <field x="3"/>
  </rowFields>
  <rowItems count="3">
    <i>
      <x/>
    </i>
    <i r="1">
      <x v="2"/>
    </i>
    <i t="grand">
      <x/>
    </i>
  </rowItems>
  <colItems count="1">
    <i/>
  </colItems>
  <dataFields count="1">
    <dataField name="Count of Employee 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D75FDD-EDB0-479D-9427-5C3327137FB3}"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9:C231" firstHeaderRow="1" firstDataRow="1" firstDataCol="1" rowPageCount="1" colPageCount="1"/>
  <pivotFields count="10">
    <pivotField showAll="0"/>
    <pivotField showAll="0"/>
    <pivotField axis="axisPage" showAll="0">
      <items count="5">
        <item x="0"/>
        <item x="1"/>
        <item x="2"/>
        <item x="3"/>
        <item t="default"/>
      </items>
    </pivotField>
    <pivotField axis="axisRow" multipleItemSelectionAllowed="1" showAll="0">
      <items count="5">
        <item x="1"/>
        <item h="1" x="2"/>
        <item h="1" x="0"/>
        <item h="1" x="3"/>
        <item t="default"/>
      </items>
    </pivotField>
    <pivotField showAll="0"/>
    <pivotField showAll="0"/>
    <pivotField numFmtId="15" showAll="0"/>
    <pivotField dataField="1" showAll="0"/>
    <pivotField showAll="0"/>
    <pivotField showAll="0"/>
  </pivotFields>
  <rowFields count="1">
    <field x="3"/>
  </rowFields>
  <rowItems count="2">
    <i>
      <x/>
    </i>
    <i t="grand">
      <x/>
    </i>
  </rowItems>
  <colItems count="1">
    <i/>
  </colItems>
  <pageFields count="1">
    <pageField fld="2" item="0" hier="-1"/>
  </pageFields>
  <dataFields count="1">
    <dataField name="Average of Salary"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A469D9-761B-45AE-B3E4-3BE9F48F1106}"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98:H215" firstHeaderRow="0" firstDataRow="1" firstDataCol="1"/>
  <pivotFields count="10">
    <pivotField dataField="1" showAll="0"/>
    <pivotField showAll="0"/>
    <pivotField axis="axisRow" showAll="0">
      <items count="5">
        <item x="0"/>
        <item x="1"/>
        <item x="2"/>
        <item x="3"/>
        <item t="default"/>
      </items>
    </pivotField>
    <pivotField axis="axisRow" showAll="0">
      <items count="5">
        <item x="1"/>
        <item x="2"/>
        <item x="0"/>
        <item x="3"/>
        <item t="default"/>
      </items>
    </pivotField>
    <pivotField showAll="0"/>
    <pivotField showAll="0"/>
    <pivotField numFmtId="15" showAll="0"/>
    <pivotField dataField="1" showAll="0"/>
    <pivotField showAll="0"/>
    <pivotField dataField="1" showAll="0"/>
  </pivotFields>
  <rowFields count="2">
    <field x="2"/>
    <field x="3"/>
  </rowFields>
  <rowItems count="17">
    <i>
      <x/>
    </i>
    <i r="1">
      <x/>
    </i>
    <i r="1">
      <x v="1"/>
    </i>
    <i r="1">
      <x v="2"/>
    </i>
    <i r="1">
      <x v="3"/>
    </i>
    <i>
      <x v="1"/>
    </i>
    <i r="1">
      <x/>
    </i>
    <i r="1">
      <x v="1"/>
    </i>
    <i r="1">
      <x v="2"/>
    </i>
    <i>
      <x v="2"/>
    </i>
    <i r="1">
      <x/>
    </i>
    <i r="1">
      <x v="2"/>
    </i>
    <i>
      <x v="3"/>
    </i>
    <i r="1">
      <x/>
    </i>
    <i r="1">
      <x v="2"/>
    </i>
    <i r="1">
      <x v="3"/>
    </i>
    <i t="grand">
      <x/>
    </i>
  </rowItems>
  <colFields count="1">
    <field x="-2"/>
  </colFields>
  <colItems count="3">
    <i>
      <x/>
    </i>
    <i i="1">
      <x v="1"/>
    </i>
    <i i="2">
      <x v="2"/>
    </i>
  </colItems>
  <dataFields count="3">
    <dataField name="Count of Employee ID" fld="0" subtotal="count" baseField="2" baseItem="0"/>
    <dataField name="Average of Salary" fld="7" subtotal="average" baseField="2" baseItem="0"/>
    <dataField name="Average of Performance" fld="9"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7880D97-DD8B-41F3-8BA5-AD8DAA5DFF86}" sourceName="Department">
  <pivotTables>
    <pivotTable tabId="14" name="PivotTable1"/>
    <pivotTable tabId="14" name="PivotTable2"/>
    <pivotTable tabId="14" name="PivotTable4"/>
    <pivotTable tabId="14" name="PivotTable5"/>
    <pivotTable tabId="14" name="PivotTable6"/>
    <pivotTable tabId="14" name="PivotTable9"/>
  </pivotTables>
  <data>
    <tabular pivotCacheId="100216422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1C3CB282-0129-408D-A2EA-8B70DE0548D6}" sourceName="Source">
  <pivotTables>
    <pivotTable tabId="14" name="PivotTable1"/>
    <pivotTable tabId="14" name="PivotTable2"/>
    <pivotTable tabId="14" name="PivotTable4"/>
    <pivotTable tabId="14" name="PivotTable5"/>
    <pivotTable tabId="14" name="PivotTable6"/>
    <pivotTable tabId="14" name="PivotTable9"/>
  </pivotTables>
  <data>
    <tabular pivotCacheId="1002164225">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2C63DB5-79B4-4F3F-9E70-E46265BAC192}" sourceName="City">
  <pivotTables>
    <pivotTable tabId="14" name="PivotTable1"/>
    <pivotTable tabId="14" name="PivotTable2"/>
    <pivotTable tabId="14" name="PivotTable4"/>
    <pivotTable tabId="14" name="PivotTable5"/>
    <pivotTable tabId="14" name="PivotTable6"/>
    <pivotTable tabId="14" name="PivotTable9"/>
  </pivotTables>
  <data>
    <tabular pivotCacheId="1002164225">
      <items count="8">
        <i x="0" s="1"/>
        <i x="1" s="1"/>
        <i x="5" s="1"/>
        <i x="4" s="1"/>
        <i x="2" s="1"/>
        <i x="7" s="1"/>
        <i x="6"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07C4C24-E369-4921-82D9-A1F9C9E82757}" sourceName="Status">
  <pivotTables>
    <pivotTable tabId="14" name="PivotTable1"/>
    <pivotTable tabId="14" name="PivotTable2"/>
    <pivotTable tabId="14" name="PivotTable4"/>
    <pivotTable tabId="14" name="PivotTable5"/>
    <pivotTable tabId="14" name="PivotTable9"/>
    <pivotTable tabId="14" name="PivotTable6"/>
  </pivotTables>
  <data>
    <tabular pivotCacheId="1002164225">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BCB655A-B6BF-4FFA-8D4F-568BA853F083}" cache="Slicer_Department" caption="Department" columnCount="2" rowHeight="360000"/>
  <slicer name="Source 1" xr10:uid="{80564D84-EDF6-4C86-A4AE-0EA15AAD05FF}" cache="Slicer_Source" caption="Source" columnCount="2" rowHeight="360000"/>
  <slicer name="City" xr10:uid="{BC94492D-8544-4CBD-9721-F0DD0CFCAA77}" cache="Slicer_City" caption="City" columnCount="2" rowHeight="360000"/>
  <slicer name="Status" xr10:uid="{4052BE8C-F109-4D4D-BB30-5C29E33E8B86}" cache="Slicer_Status" caption="Status" columnCount="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E30D41-E281-429E-8FFA-887F05BD0D43}" name="HR_Data" displayName="HR_Data" ref="A1:P478" totalsRowShown="0" dataDxfId="47" tableBorderDxfId="46">
  <tableColumns count="16">
    <tableColumn id="1" xr3:uid="{99B29F4F-2E36-4F8F-8E51-B0ED69FDBFE7}" name="Applicant ID" dataDxfId="45"/>
    <tableColumn id="2" xr3:uid="{4F7D8B0E-CCE1-45A5-9874-5C482288D800}" name="Candidate Name" dataDxfId="44"/>
    <tableColumn id="3" xr3:uid="{6DA9A42B-B549-453F-BB3A-39AF8314B80A}" name="City" dataDxfId="43"/>
    <tableColumn id="4" xr3:uid="{798F2F32-F240-44B1-A886-1B32320B509C}" name="Department" dataDxfId="42"/>
    <tableColumn id="5" xr3:uid="{5D2918C8-4873-4D54-A66B-AFEBB0DAD6C2}" name="Job Role" dataDxfId="41"/>
    <tableColumn id="6" xr3:uid="{802A8C5C-3D21-44FC-BC57-25EF5AD70AFC}" name="Source" dataDxfId="40"/>
    <tableColumn id="7" xr3:uid="{3FA64900-EAAE-481B-84FA-F0496966E7F9}" name="Status" dataDxfId="39"/>
    <tableColumn id="8" xr3:uid="{B3239639-659B-4EDF-95B5-5D74EFE63EFE}" name="Application Date" dataDxfId="38"/>
    <tableColumn id="9" xr3:uid="{8D8F02DD-FD9A-48CE-934B-884B5FF5F19D}" name="Salary Expected" dataDxfId="37"/>
    <tableColumn id="10" xr3:uid="{9B14CC80-AC35-4F11-B996-65DC084EA0FA}" name="Experience" dataDxfId="36"/>
    <tableColumn id="11" xr3:uid="{B8211737-4484-4562-A32C-4932B1B86E61}" name="Performance" dataDxfId="35"/>
    <tableColumn id="12" xr3:uid="{E40D0A92-C83B-4D96-82F7-AE81C6C075C0}" name="Experience Category" dataDxfId="34">
      <calculatedColumnFormula array="1">_xlfn.IFS(J2&lt;2,"Fresher",J2&lt;=3,"Mid Level",J2&gt;3,"Experienced")</calculatedColumnFormula>
    </tableColumn>
    <tableColumn id="13" xr3:uid="{993EEB82-3123-46C0-BBD7-D104374852CC}" name="Salary  Category" dataDxfId="33">
      <calculatedColumnFormula array="1">_xlfn.IFS(I2&gt;=600000,"High",I2&gt;=450000,"Medium",I2&lt;450000,"Low")</calculatedColumnFormula>
    </tableColumn>
    <tableColumn id="14" xr3:uid="{31DB3D1A-A0EE-4076-A24E-FBFBED95FC4B}" name="Incentives" dataDxfId="32">
      <calculatedColumnFormula>IF(F2="Naukri",2%,IF(F2="LinkedIn",2%,IF(F2="Employee Referral",5%,1%)))</calculatedColumnFormula>
    </tableColumn>
    <tableColumn id="15" xr3:uid="{F7C8CD7F-BEEF-404B-89BF-203744A7AD6F}" name="Duplicate Flag" dataDxfId="31">
      <calculatedColumnFormula>IF(COUNTIF($A$2:$A$478,A2)&gt;1,"Duplicate","Unique")</calculatedColumnFormula>
    </tableColumn>
    <tableColumn id="16" xr3:uid="{7FE6BA50-9715-4C68-8599-D46B365D9BA5}" name="Month" dataDxfId="30">
      <calculatedColumnFormula>MONTH(H2)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48BF5-71CA-4F17-8A64-35BB6D82C9E0}">
  <dimension ref="A1:J477"/>
  <sheetViews>
    <sheetView workbookViewId="0">
      <selection activeCell="C12" sqref="C12"/>
    </sheetView>
  </sheetViews>
  <sheetFormatPr defaultColWidth="10.90625" defaultRowHeight="16" customHeight="1"/>
  <cols>
    <col min="1" max="1" width="11" bestFit="1" customWidth="1"/>
    <col min="2" max="2" width="14.81640625" bestFit="1" customWidth="1"/>
    <col min="3" max="3" width="10" bestFit="1" customWidth="1"/>
    <col min="4" max="4" width="11.08984375" bestFit="1" customWidth="1"/>
    <col min="5" max="5" width="18.54296875" bestFit="1" customWidth="1"/>
    <col min="6" max="6" width="16.1796875" bestFit="1" customWidth="1"/>
    <col min="7" max="7" width="8.6328125" bestFit="1" customWidth="1"/>
    <col min="8" max="8" width="14.81640625" bestFit="1" customWidth="1"/>
    <col min="9" max="9" width="14" bestFit="1" customWidth="1"/>
    <col min="10" max="10" width="9.90625" bestFit="1" customWidth="1"/>
  </cols>
  <sheetData>
    <row r="1" spans="1:10" ht="16" customHeight="1">
      <c r="A1" s="38" t="s">
        <v>0</v>
      </c>
      <c r="B1" s="39" t="s">
        <v>1</v>
      </c>
      <c r="C1" s="39" t="s">
        <v>2</v>
      </c>
      <c r="D1" s="39" t="s">
        <v>3</v>
      </c>
      <c r="E1" s="39" t="s">
        <v>4</v>
      </c>
      <c r="F1" s="39" t="s">
        <v>5</v>
      </c>
      <c r="G1" s="39" t="s">
        <v>6</v>
      </c>
      <c r="H1" s="39" t="s">
        <v>7</v>
      </c>
      <c r="I1" s="38" t="s">
        <v>8</v>
      </c>
      <c r="J1" s="38" t="s">
        <v>9</v>
      </c>
    </row>
    <row r="2" spans="1:10" ht="16" customHeight="1">
      <c r="A2" s="35">
        <v>3101001</v>
      </c>
      <c r="B2" s="36" t="s">
        <v>10</v>
      </c>
      <c r="C2" s="36" t="s">
        <v>11</v>
      </c>
      <c r="D2" s="36" t="s">
        <v>12</v>
      </c>
      <c r="E2" s="36" t="s">
        <v>13</v>
      </c>
      <c r="F2" s="36" t="s">
        <v>14</v>
      </c>
      <c r="G2" s="36" t="s">
        <v>15</v>
      </c>
      <c r="H2" s="37">
        <v>46027</v>
      </c>
      <c r="I2" s="35">
        <v>450000</v>
      </c>
      <c r="J2" s="35">
        <v>1</v>
      </c>
    </row>
    <row r="3" spans="1:10" ht="16" customHeight="1">
      <c r="A3" s="35">
        <v>3101002</v>
      </c>
      <c r="B3" s="36" t="s">
        <v>16</v>
      </c>
      <c r="C3" s="36" t="s">
        <v>17</v>
      </c>
      <c r="D3" s="36" t="s">
        <v>18</v>
      </c>
      <c r="E3" s="36" t="s">
        <v>19</v>
      </c>
      <c r="F3" s="36" t="s">
        <v>20</v>
      </c>
      <c r="G3" s="36" t="s">
        <v>21</v>
      </c>
      <c r="H3" s="37">
        <v>46034</v>
      </c>
      <c r="I3" s="35">
        <v>380000</v>
      </c>
      <c r="J3" s="35">
        <v>2</v>
      </c>
    </row>
    <row r="4" spans="1:10" ht="16" customHeight="1">
      <c r="A4" s="35">
        <v>3101003</v>
      </c>
      <c r="B4" s="36" t="s">
        <v>22</v>
      </c>
      <c r="C4" s="36" t="s">
        <v>11</v>
      </c>
      <c r="D4" s="36" t="s">
        <v>12</v>
      </c>
      <c r="E4" s="36" t="s">
        <v>23</v>
      </c>
      <c r="F4" s="36" t="s">
        <v>24</v>
      </c>
      <c r="G4" s="36" t="s">
        <v>25</v>
      </c>
      <c r="H4" s="37">
        <v>46040</v>
      </c>
      <c r="I4" s="35">
        <v>500000</v>
      </c>
      <c r="J4" s="35">
        <v>1</v>
      </c>
    </row>
    <row r="5" spans="1:10" ht="16" customHeight="1">
      <c r="A5" s="35">
        <v>3101004</v>
      </c>
      <c r="B5" s="36" t="s">
        <v>26</v>
      </c>
      <c r="C5" s="36" t="s">
        <v>27</v>
      </c>
      <c r="D5" s="36" t="s">
        <v>28</v>
      </c>
      <c r="E5" s="36" t="s">
        <v>29</v>
      </c>
      <c r="F5" s="36" t="s">
        <v>14</v>
      </c>
      <c r="G5" s="36" t="s">
        <v>15</v>
      </c>
      <c r="H5" s="37">
        <v>46043</v>
      </c>
      <c r="I5" s="35">
        <v>350000</v>
      </c>
      <c r="J5" s="35">
        <v>2</v>
      </c>
    </row>
    <row r="6" spans="1:10" ht="16" customHeight="1">
      <c r="A6" s="35">
        <v>3101005</v>
      </c>
      <c r="B6" s="36" t="s">
        <v>30</v>
      </c>
      <c r="C6" s="36" t="s">
        <v>11</v>
      </c>
      <c r="D6" s="36" t="s">
        <v>12</v>
      </c>
      <c r="E6" s="36" t="s">
        <v>13</v>
      </c>
      <c r="F6" s="36" t="s">
        <v>20</v>
      </c>
      <c r="G6" s="36" t="s">
        <v>21</v>
      </c>
      <c r="H6" s="37">
        <v>46047</v>
      </c>
      <c r="I6" s="35">
        <v>420000</v>
      </c>
      <c r="J6" s="35">
        <v>1</v>
      </c>
    </row>
    <row r="7" spans="1:10" ht="16" customHeight="1">
      <c r="A7" s="35">
        <v>3101006</v>
      </c>
      <c r="B7" s="36" t="s">
        <v>31</v>
      </c>
      <c r="C7" s="36" t="s">
        <v>17</v>
      </c>
      <c r="D7" s="36" t="s">
        <v>32</v>
      </c>
      <c r="E7" s="36" t="s">
        <v>33</v>
      </c>
      <c r="F7" s="36" t="s">
        <v>34</v>
      </c>
      <c r="G7" s="36" t="s">
        <v>25</v>
      </c>
      <c r="H7" s="37">
        <v>46055</v>
      </c>
      <c r="I7" s="35">
        <v>320000</v>
      </c>
      <c r="J7" s="35">
        <v>2</v>
      </c>
    </row>
    <row r="8" spans="1:10" ht="16" customHeight="1">
      <c r="A8" s="35">
        <v>3101007</v>
      </c>
      <c r="B8" s="36" t="s">
        <v>35</v>
      </c>
      <c r="C8" s="36" t="s">
        <v>11</v>
      </c>
      <c r="D8" s="36" t="s">
        <v>12</v>
      </c>
      <c r="E8" s="36" t="s">
        <v>36</v>
      </c>
      <c r="F8" s="36" t="s">
        <v>24</v>
      </c>
      <c r="G8" s="36" t="s">
        <v>21</v>
      </c>
      <c r="H8" s="37">
        <v>46061</v>
      </c>
      <c r="I8" s="35">
        <v>600000</v>
      </c>
      <c r="J8" s="35">
        <v>1</v>
      </c>
    </row>
    <row r="9" spans="1:10" ht="16" customHeight="1">
      <c r="A9" s="35">
        <v>3101008</v>
      </c>
      <c r="B9" s="36" t="s">
        <v>37</v>
      </c>
      <c r="C9" s="36" t="s">
        <v>38</v>
      </c>
      <c r="D9" s="36" t="s">
        <v>18</v>
      </c>
      <c r="E9" s="36" t="s">
        <v>39</v>
      </c>
      <c r="F9" s="36" t="s">
        <v>20</v>
      </c>
      <c r="G9" s="36" t="s">
        <v>15</v>
      </c>
      <c r="H9" s="37">
        <v>46067</v>
      </c>
      <c r="I9" s="35">
        <v>400000</v>
      </c>
      <c r="J9" s="35">
        <v>3</v>
      </c>
    </row>
    <row r="10" spans="1:10" ht="16" customHeight="1">
      <c r="A10" s="35">
        <v>3101009</v>
      </c>
      <c r="B10" s="36" t="s">
        <v>40</v>
      </c>
      <c r="C10" s="36" t="s">
        <v>11</v>
      </c>
      <c r="D10" s="36" t="s">
        <v>28</v>
      </c>
      <c r="E10" s="36" t="s">
        <v>29</v>
      </c>
      <c r="F10" s="36" t="s">
        <v>14</v>
      </c>
      <c r="G10" s="36" t="s">
        <v>25</v>
      </c>
      <c r="H10" s="37">
        <v>46073</v>
      </c>
      <c r="I10" s="35">
        <v>360000</v>
      </c>
      <c r="J10" s="35">
        <v>1</v>
      </c>
    </row>
    <row r="11" spans="1:10" ht="16" customHeight="1">
      <c r="A11" s="35">
        <v>3101010</v>
      </c>
      <c r="B11" s="36" t="s">
        <v>41</v>
      </c>
      <c r="C11" s="36" t="s">
        <v>27</v>
      </c>
      <c r="D11" s="36" t="s">
        <v>12</v>
      </c>
      <c r="E11" s="36" t="s">
        <v>13</v>
      </c>
      <c r="F11" s="36" t="s">
        <v>24</v>
      </c>
      <c r="G11" s="36" t="s">
        <v>15</v>
      </c>
      <c r="H11" s="37">
        <v>46078</v>
      </c>
      <c r="I11" s="35">
        <v>480000</v>
      </c>
      <c r="J11" s="35">
        <v>2</v>
      </c>
    </row>
    <row r="12" spans="1:10" ht="16" customHeight="1">
      <c r="A12" s="35">
        <v>3101011</v>
      </c>
      <c r="B12" s="36" t="s">
        <v>42</v>
      </c>
      <c r="C12" s="36" t="s">
        <v>17</v>
      </c>
      <c r="D12" s="36" t="s">
        <v>12</v>
      </c>
      <c r="E12" s="36" t="s">
        <v>23</v>
      </c>
      <c r="F12" s="36" t="s">
        <v>14</v>
      </c>
      <c r="G12" s="36" t="s">
        <v>21</v>
      </c>
      <c r="H12" s="37">
        <v>46083</v>
      </c>
      <c r="I12" s="35">
        <v>520000</v>
      </c>
      <c r="J12" s="35">
        <v>2</v>
      </c>
    </row>
    <row r="13" spans="1:10" ht="16" customHeight="1">
      <c r="A13" s="35">
        <v>3101012</v>
      </c>
      <c r="B13" s="36" t="s">
        <v>43</v>
      </c>
      <c r="C13" s="36" t="s">
        <v>11</v>
      </c>
      <c r="D13" s="36" t="s">
        <v>18</v>
      </c>
      <c r="E13" s="36" t="s">
        <v>19</v>
      </c>
      <c r="F13" s="36" t="s">
        <v>34</v>
      </c>
      <c r="G13" s="36" t="s">
        <v>25</v>
      </c>
      <c r="H13" s="37">
        <v>46091</v>
      </c>
      <c r="I13" s="35">
        <v>370000</v>
      </c>
      <c r="J13" s="35">
        <v>1</v>
      </c>
    </row>
    <row r="14" spans="1:10" ht="16" customHeight="1">
      <c r="A14" s="35">
        <v>3101013</v>
      </c>
      <c r="B14" s="36" t="s">
        <v>44</v>
      </c>
      <c r="C14" s="36" t="s">
        <v>38</v>
      </c>
      <c r="D14" s="36" t="s">
        <v>12</v>
      </c>
      <c r="E14" s="36" t="s">
        <v>13</v>
      </c>
      <c r="F14" s="36" t="s">
        <v>24</v>
      </c>
      <c r="G14" s="36" t="s">
        <v>15</v>
      </c>
      <c r="H14" s="37">
        <v>46096</v>
      </c>
      <c r="I14" s="35">
        <v>450000</v>
      </c>
      <c r="J14" s="35">
        <v>2</v>
      </c>
    </row>
    <row r="15" spans="1:10" ht="16" customHeight="1">
      <c r="A15" s="35">
        <v>3101014</v>
      </c>
      <c r="B15" s="36" t="s">
        <v>45</v>
      </c>
      <c r="C15" s="36" t="s">
        <v>11</v>
      </c>
      <c r="D15" s="36" t="s">
        <v>32</v>
      </c>
      <c r="E15" s="36" t="s">
        <v>33</v>
      </c>
      <c r="F15" s="36" t="s">
        <v>20</v>
      </c>
      <c r="G15" s="36" t="s">
        <v>21</v>
      </c>
      <c r="H15" s="37">
        <v>46103</v>
      </c>
      <c r="I15" s="35">
        <v>340000</v>
      </c>
      <c r="J15" s="35">
        <v>3</v>
      </c>
    </row>
    <row r="16" spans="1:10" ht="16" customHeight="1">
      <c r="A16" s="35">
        <v>3101015</v>
      </c>
      <c r="B16" s="36" t="s">
        <v>46</v>
      </c>
      <c r="C16" s="36" t="s">
        <v>27</v>
      </c>
      <c r="D16" s="36" t="s">
        <v>12</v>
      </c>
      <c r="E16" s="36" t="s">
        <v>36</v>
      </c>
      <c r="F16" s="36" t="s">
        <v>14</v>
      </c>
      <c r="G16" s="36" t="s">
        <v>15</v>
      </c>
      <c r="H16" s="37">
        <v>46109</v>
      </c>
      <c r="I16" s="35">
        <v>650000</v>
      </c>
      <c r="J16" s="35">
        <v>1</v>
      </c>
    </row>
    <row r="17" spans="1:10" ht="16" customHeight="1">
      <c r="A17" s="35">
        <v>3101016</v>
      </c>
      <c r="B17" s="36" t="s">
        <v>47</v>
      </c>
      <c r="C17" s="36" t="s">
        <v>11</v>
      </c>
      <c r="D17" s="36" t="s">
        <v>28</v>
      </c>
      <c r="E17" s="36" t="s">
        <v>29</v>
      </c>
      <c r="F17" s="36" t="s">
        <v>24</v>
      </c>
      <c r="G17" s="36" t="s">
        <v>25</v>
      </c>
      <c r="H17" s="37">
        <v>46115</v>
      </c>
      <c r="I17" s="35">
        <v>380000</v>
      </c>
      <c r="J17" s="35">
        <v>2</v>
      </c>
    </row>
    <row r="18" spans="1:10" ht="16" customHeight="1">
      <c r="A18" s="35">
        <v>3101017</v>
      </c>
      <c r="B18" s="36" t="s">
        <v>48</v>
      </c>
      <c r="C18" s="36" t="s">
        <v>17</v>
      </c>
      <c r="D18" s="36" t="s">
        <v>12</v>
      </c>
      <c r="E18" s="36" t="s">
        <v>13</v>
      </c>
      <c r="F18" s="36" t="s">
        <v>20</v>
      </c>
      <c r="G18" s="36" t="s">
        <v>21</v>
      </c>
      <c r="H18" s="37">
        <v>46121</v>
      </c>
      <c r="I18" s="35">
        <v>440000</v>
      </c>
      <c r="J18" s="35">
        <v>1</v>
      </c>
    </row>
    <row r="19" spans="1:10" ht="16" customHeight="1">
      <c r="A19" s="35">
        <v>3101018</v>
      </c>
      <c r="B19" s="36" t="s">
        <v>49</v>
      </c>
      <c r="C19" s="36" t="s">
        <v>11</v>
      </c>
      <c r="D19" s="36" t="s">
        <v>18</v>
      </c>
      <c r="E19" s="36" t="s">
        <v>39</v>
      </c>
      <c r="F19" s="36" t="s">
        <v>14</v>
      </c>
      <c r="G19" s="36" t="s">
        <v>15</v>
      </c>
      <c r="H19" s="37">
        <v>46128</v>
      </c>
      <c r="I19" s="35">
        <v>410000</v>
      </c>
      <c r="J19" s="35">
        <v>2</v>
      </c>
    </row>
    <row r="20" spans="1:10" ht="16" customHeight="1">
      <c r="A20" s="35">
        <v>3101019</v>
      </c>
      <c r="B20" s="36" t="s">
        <v>50</v>
      </c>
      <c r="C20" s="36" t="s">
        <v>38</v>
      </c>
      <c r="D20" s="36" t="s">
        <v>12</v>
      </c>
      <c r="E20" s="36" t="s">
        <v>23</v>
      </c>
      <c r="F20" s="36" t="s">
        <v>24</v>
      </c>
      <c r="G20" s="36" t="s">
        <v>25</v>
      </c>
      <c r="H20" s="37">
        <v>46134</v>
      </c>
      <c r="I20" s="35">
        <v>510000</v>
      </c>
      <c r="J20" s="35">
        <v>3</v>
      </c>
    </row>
    <row r="21" spans="1:10" ht="16" customHeight="1">
      <c r="A21" s="35">
        <v>3101020</v>
      </c>
      <c r="B21" s="36" t="s">
        <v>51</v>
      </c>
      <c r="C21" s="36" t="s">
        <v>11</v>
      </c>
      <c r="D21" s="36" t="s">
        <v>12</v>
      </c>
      <c r="E21" s="36" t="s">
        <v>13</v>
      </c>
      <c r="F21" s="36" t="s">
        <v>34</v>
      </c>
      <c r="G21" s="36" t="s">
        <v>21</v>
      </c>
      <c r="H21" s="37">
        <v>46141</v>
      </c>
      <c r="I21" s="35">
        <v>460000</v>
      </c>
      <c r="J21" s="35">
        <v>1</v>
      </c>
    </row>
    <row r="22" spans="1:10" ht="16" customHeight="1">
      <c r="A22" s="85">
        <v>3101021</v>
      </c>
      <c r="B22" s="85" t="s">
        <v>286</v>
      </c>
      <c r="C22" s="85" t="s">
        <v>264</v>
      </c>
      <c r="D22" s="85" t="s">
        <v>18</v>
      </c>
      <c r="E22" s="85" t="s">
        <v>19</v>
      </c>
      <c r="F22" s="85" t="s">
        <v>14</v>
      </c>
      <c r="G22" s="85" t="s">
        <v>256</v>
      </c>
      <c r="H22" s="86">
        <v>46287</v>
      </c>
      <c r="I22" s="85">
        <v>480000</v>
      </c>
      <c r="J22" s="85">
        <v>3</v>
      </c>
    </row>
    <row r="23" spans="1:10" ht="16" customHeight="1">
      <c r="A23" s="85">
        <v>3101022</v>
      </c>
      <c r="B23" s="85" t="s">
        <v>295</v>
      </c>
      <c r="C23" s="85" t="s">
        <v>268</v>
      </c>
      <c r="D23" s="85" t="s">
        <v>12</v>
      </c>
      <c r="E23" s="85" t="s">
        <v>265</v>
      </c>
      <c r="F23" s="85" t="s">
        <v>14</v>
      </c>
      <c r="G23" s="85" t="s">
        <v>25</v>
      </c>
      <c r="H23" s="86">
        <v>46173</v>
      </c>
      <c r="I23" s="85">
        <v>460000</v>
      </c>
      <c r="J23" s="85">
        <v>2</v>
      </c>
    </row>
    <row r="24" spans="1:10" ht="16" customHeight="1">
      <c r="A24" s="85">
        <v>3101023</v>
      </c>
      <c r="B24" s="85" t="s">
        <v>296</v>
      </c>
      <c r="C24" s="85" t="s">
        <v>11</v>
      </c>
      <c r="D24" s="85" t="s">
        <v>32</v>
      </c>
      <c r="E24" s="85" t="s">
        <v>33</v>
      </c>
      <c r="F24" s="85" t="s">
        <v>20</v>
      </c>
      <c r="G24" s="85" t="s">
        <v>25</v>
      </c>
      <c r="H24" s="86">
        <v>46198</v>
      </c>
      <c r="I24" s="85">
        <v>360000</v>
      </c>
      <c r="J24" s="85">
        <v>3</v>
      </c>
    </row>
    <row r="25" spans="1:10" ht="16" customHeight="1">
      <c r="A25" s="85">
        <v>3101024</v>
      </c>
      <c r="B25" s="85" t="s">
        <v>46</v>
      </c>
      <c r="C25" s="85" t="s">
        <v>264</v>
      </c>
      <c r="D25" s="85" t="s">
        <v>28</v>
      </c>
      <c r="E25" s="85" t="s">
        <v>29</v>
      </c>
      <c r="F25" s="85" t="s">
        <v>14</v>
      </c>
      <c r="G25" s="85" t="s">
        <v>25</v>
      </c>
      <c r="H25" s="86">
        <v>46167</v>
      </c>
      <c r="I25" s="85">
        <v>470000</v>
      </c>
      <c r="J25" s="85">
        <v>4</v>
      </c>
    </row>
    <row r="26" spans="1:10" ht="16" customHeight="1">
      <c r="A26" s="85">
        <v>3101025</v>
      </c>
      <c r="B26" s="85" t="s">
        <v>263</v>
      </c>
      <c r="C26" s="85" t="s">
        <v>260</v>
      </c>
      <c r="D26" s="85" t="s">
        <v>28</v>
      </c>
      <c r="E26" s="85" t="s">
        <v>297</v>
      </c>
      <c r="F26" s="85" t="s">
        <v>24</v>
      </c>
      <c r="G26" s="85" t="s">
        <v>256</v>
      </c>
      <c r="H26" s="86">
        <v>46292</v>
      </c>
      <c r="I26" s="85">
        <v>385000</v>
      </c>
      <c r="J26" s="85">
        <v>2</v>
      </c>
    </row>
    <row r="27" spans="1:10" ht="16" customHeight="1">
      <c r="A27" s="85">
        <v>3101026</v>
      </c>
      <c r="B27" s="85" t="s">
        <v>253</v>
      </c>
      <c r="C27" s="85" t="s">
        <v>264</v>
      </c>
      <c r="D27" s="85" t="s">
        <v>28</v>
      </c>
      <c r="E27" s="85" t="s">
        <v>297</v>
      </c>
      <c r="F27" s="85" t="s">
        <v>20</v>
      </c>
      <c r="G27" s="85" t="s">
        <v>15</v>
      </c>
      <c r="H27" s="86">
        <v>46294</v>
      </c>
      <c r="I27" s="85">
        <v>535000</v>
      </c>
      <c r="J27" s="85">
        <v>4</v>
      </c>
    </row>
    <row r="28" spans="1:10" ht="16" customHeight="1">
      <c r="A28" s="85">
        <v>3101027</v>
      </c>
      <c r="B28" s="85" t="s">
        <v>254</v>
      </c>
      <c r="C28" s="85" t="s">
        <v>258</v>
      </c>
      <c r="D28" s="85" t="s">
        <v>18</v>
      </c>
      <c r="E28" s="85" t="s">
        <v>19</v>
      </c>
      <c r="F28" s="85" t="s">
        <v>20</v>
      </c>
      <c r="G28" s="85" t="s">
        <v>21</v>
      </c>
      <c r="H28" s="86">
        <v>46279</v>
      </c>
      <c r="I28" s="85">
        <v>430000</v>
      </c>
      <c r="J28" s="85">
        <v>2</v>
      </c>
    </row>
    <row r="29" spans="1:10" ht="16" customHeight="1">
      <c r="A29" s="85">
        <v>3101028</v>
      </c>
      <c r="B29" s="85" t="s">
        <v>298</v>
      </c>
      <c r="C29" s="85" t="s">
        <v>11</v>
      </c>
      <c r="D29" s="85" t="s">
        <v>18</v>
      </c>
      <c r="E29" s="85" t="s">
        <v>39</v>
      </c>
      <c r="F29" s="85" t="s">
        <v>24</v>
      </c>
      <c r="G29" s="85" t="s">
        <v>25</v>
      </c>
      <c r="H29" s="86">
        <v>46157</v>
      </c>
      <c r="I29" s="85">
        <v>485000</v>
      </c>
      <c r="J29" s="85">
        <v>5</v>
      </c>
    </row>
    <row r="30" spans="1:10" ht="16" customHeight="1">
      <c r="A30" s="85">
        <v>3101029</v>
      </c>
      <c r="B30" s="85" t="s">
        <v>278</v>
      </c>
      <c r="C30" s="85" t="s">
        <v>258</v>
      </c>
      <c r="D30" s="85" t="s">
        <v>28</v>
      </c>
      <c r="E30" s="85" t="s">
        <v>297</v>
      </c>
      <c r="F30" s="85" t="s">
        <v>24</v>
      </c>
      <c r="G30" s="85" t="s">
        <v>21</v>
      </c>
      <c r="H30" s="86">
        <v>46203</v>
      </c>
      <c r="I30" s="85">
        <v>580000</v>
      </c>
      <c r="J30" s="85">
        <v>0</v>
      </c>
    </row>
    <row r="31" spans="1:10" ht="16" customHeight="1">
      <c r="A31" s="85">
        <v>3101030</v>
      </c>
      <c r="B31" s="85" t="s">
        <v>299</v>
      </c>
      <c r="C31" s="85" t="s">
        <v>268</v>
      </c>
      <c r="D31" s="85" t="s">
        <v>32</v>
      </c>
      <c r="E31" s="85" t="s">
        <v>300</v>
      </c>
      <c r="F31" s="85" t="s">
        <v>34</v>
      </c>
      <c r="G31" s="85" t="s">
        <v>25</v>
      </c>
      <c r="H31" s="86">
        <v>46223</v>
      </c>
      <c r="I31" s="85">
        <v>405000</v>
      </c>
      <c r="J31" s="85">
        <v>4</v>
      </c>
    </row>
    <row r="32" spans="1:10" ht="16" customHeight="1">
      <c r="A32" s="85">
        <v>3101031</v>
      </c>
      <c r="B32" s="85" t="s">
        <v>298</v>
      </c>
      <c r="C32" s="85" t="s">
        <v>258</v>
      </c>
      <c r="D32" s="85" t="s">
        <v>28</v>
      </c>
      <c r="E32" s="85" t="s">
        <v>29</v>
      </c>
      <c r="F32" s="85" t="s">
        <v>24</v>
      </c>
      <c r="G32" s="85" t="s">
        <v>21</v>
      </c>
      <c r="H32" s="86">
        <v>46213</v>
      </c>
      <c r="I32" s="85">
        <v>310000</v>
      </c>
      <c r="J32" s="85">
        <v>0</v>
      </c>
    </row>
    <row r="33" spans="1:10" ht="16" customHeight="1">
      <c r="A33" s="85">
        <v>3101032</v>
      </c>
      <c r="B33" s="85" t="s">
        <v>259</v>
      </c>
      <c r="C33" s="85" t="s">
        <v>268</v>
      </c>
      <c r="D33" s="85" t="s">
        <v>18</v>
      </c>
      <c r="E33" s="85" t="s">
        <v>19</v>
      </c>
      <c r="F33" s="85" t="s">
        <v>20</v>
      </c>
      <c r="G33" s="85" t="s">
        <v>21</v>
      </c>
      <c r="H33" s="86">
        <v>46196</v>
      </c>
      <c r="I33" s="85">
        <v>455000</v>
      </c>
      <c r="J33" s="85">
        <v>2</v>
      </c>
    </row>
    <row r="34" spans="1:10" ht="16" customHeight="1">
      <c r="A34" s="85">
        <v>3101033</v>
      </c>
      <c r="B34" s="85" t="s">
        <v>301</v>
      </c>
      <c r="C34" s="85" t="s">
        <v>268</v>
      </c>
      <c r="D34" s="85" t="s">
        <v>28</v>
      </c>
      <c r="E34" s="85" t="s">
        <v>29</v>
      </c>
      <c r="F34" s="85" t="s">
        <v>14</v>
      </c>
      <c r="G34" s="85" t="s">
        <v>256</v>
      </c>
      <c r="H34" s="86">
        <v>46226</v>
      </c>
      <c r="I34" s="85">
        <v>330000</v>
      </c>
      <c r="J34" s="85">
        <v>3</v>
      </c>
    </row>
    <row r="35" spans="1:10" ht="16" customHeight="1">
      <c r="A35" s="85">
        <v>3101034</v>
      </c>
      <c r="B35" s="85" t="s">
        <v>302</v>
      </c>
      <c r="C35" s="85" t="s">
        <v>260</v>
      </c>
      <c r="D35" s="85" t="s">
        <v>28</v>
      </c>
      <c r="E35" s="85" t="s">
        <v>297</v>
      </c>
      <c r="F35" s="85" t="s">
        <v>24</v>
      </c>
      <c r="G35" s="85" t="s">
        <v>256</v>
      </c>
      <c r="H35" s="86">
        <v>46267</v>
      </c>
      <c r="I35" s="85">
        <v>585000</v>
      </c>
      <c r="J35" s="85">
        <v>0</v>
      </c>
    </row>
    <row r="36" spans="1:10" ht="16" customHeight="1">
      <c r="A36" s="85">
        <v>3101035</v>
      </c>
      <c r="B36" s="85" t="s">
        <v>269</v>
      </c>
      <c r="C36" s="85" t="s">
        <v>268</v>
      </c>
      <c r="D36" s="85" t="s">
        <v>12</v>
      </c>
      <c r="E36" s="85" t="s">
        <v>303</v>
      </c>
      <c r="F36" s="85" t="s">
        <v>14</v>
      </c>
      <c r="G36" s="85" t="s">
        <v>15</v>
      </c>
      <c r="H36" s="86">
        <v>46250</v>
      </c>
      <c r="I36" s="85">
        <v>785000</v>
      </c>
      <c r="J36" s="85">
        <v>1</v>
      </c>
    </row>
    <row r="37" spans="1:10" ht="16" customHeight="1">
      <c r="A37" s="85">
        <v>3101036</v>
      </c>
      <c r="B37" s="85" t="s">
        <v>273</v>
      </c>
      <c r="C37" s="85" t="s">
        <v>17</v>
      </c>
      <c r="D37" s="85" t="s">
        <v>12</v>
      </c>
      <c r="E37" s="85" t="s">
        <v>13</v>
      </c>
      <c r="F37" s="85" t="s">
        <v>20</v>
      </c>
      <c r="G37" s="85" t="s">
        <v>25</v>
      </c>
      <c r="H37" s="86">
        <v>46166</v>
      </c>
      <c r="I37" s="85">
        <v>630000</v>
      </c>
      <c r="J37" s="85">
        <v>4</v>
      </c>
    </row>
    <row r="38" spans="1:10" ht="16" customHeight="1">
      <c r="A38" s="85">
        <v>3101037</v>
      </c>
      <c r="B38" s="85" t="s">
        <v>48</v>
      </c>
      <c r="C38" s="85" t="s">
        <v>38</v>
      </c>
      <c r="D38" s="85" t="s">
        <v>12</v>
      </c>
      <c r="E38" s="85" t="s">
        <v>23</v>
      </c>
      <c r="F38" s="85" t="s">
        <v>14</v>
      </c>
      <c r="G38" s="85" t="s">
        <v>25</v>
      </c>
      <c r="H38" s="86">
        <v>46213</v>
      </c>
      <c r="I38" s="85">
        <v>645000</v>
      </c>
      <c r="J38" s="85">
        <v>5</v>
      </c>
    </row>
    <row r="39" spans="1:10" ht="16" customHeight="1">
      <c r="A39" s="85">
        <v>3101038</v>
      </c>
      <c r="B39" s="85" t="s">
        <v>259</v>
      </c>
      <c r="C39" s="85" t="s">
        <v>11</v>
      </c>
      <c r="D39" s="85" t="s">
        <v>12</v>
      </c>
      <c r="E39" s="85" t="s">
        <v>303</v>
      </c>
      <c r="F39" s="85" t="s">
        <v>20</v>
      </c>
      <c r="G39" s="85" t="s">
        <v>25</v>
      </c>
      <c r="H39" s="86">
        <v>46179</v>
      </c>
      <c r="I39" s="85">
        <v>640000</v>
      </c>
      <c r="J39" s="85">
        <v>4</v>
      </c>
    </row>
    <row r="40" spans="1:10" ht="16" customHeight="1">
      <c r="A40" s="85">
        <v>3101039</v>
      </c>
      <c r="B40" s="85" t="s">
        <v>304</v>
      </c>
      <c r="C40" s="85" t="s">
        <v>27</v>
      </c>
      <c r="D40" s="85" t="s">
        <v>18</v>
      </c>
      <c r="E40" s="85" t="s">
        <v>39</v>
      </c>
      <c r="F40" s="85" t="s">
        <v>34</v>
      </c>
      <c r="G40" s="85" t="s">
        <v>15</v>
      </c>
      <c r="H40" s="86">
        <v>46185</v>
      </c>
      <c r="I40" s="85">
        <v>505000</v>
      </c>
      <c r="J40" s="85">
        <v>1</v>
      </c>
    </row>
    <row r="41" spans="1:10" ht="16" customHeight="1">
      <c r="A41" s="85">
        <v>3101040</v>
      </c>
      <c r="B41" s="85" t="s">
        <v>283</v>
      </c>
      <c r="C41" s="85" t="s">
        <v>258</v>
      </c>
      <c r="D41" s="85" t="s">
        <v>28</v>
      </c>
      <c r="E41" s="85" t="s">
        <v>29</v>
      </c>
      <c r="F41" s="85" t="s">
        <v>24</v>
      </c>
      <c r="G41" s="85" t="s">
        <v>21</v>
      </c>
      <c r="H41" s="86">
        <v>46195</v>
      </c>
      <c r="I41" s="85">
        <v>300000</v>
      </c>
      <c r="J41" s="85">
        <v>3</v>
      </c>
    </row>
    <row r="42" spans="1:10" ht="16" customHeight="1">
      <c r="A42" s="85">
        <v>3101041</v>
      </c>
      <c r="B42" s="85" t="s">
        <v>278</v>
      </c>
      <c r="C42" s="85" t="s">
        <v>258</v>
      </c>
      <c r="D42" s="85" t="s">
        <v>12</v>
      </c>
      <c r="E42" s="85" t="s">
        <v>23</v>
      </c>
      <c r="F42" s="85" t="s">
        <v>14</v>
      </c>
      <c r="G42" s="85" t="s">
        <v>256</v>
      </c>
      <c r="H42" s="86">
        <v>46235</v>
      </c>
      <c r="I42" s="85">
        <v>435000</v>
      </c>
      <c r="J42" s="85">
        <v>0</v>
      </c>
    </row>
    <row r="43" spans="1:10" ht="16" customHeight="1">
      <c r="A43" s="85">
        <v>3101042</v>
      </c>
      <c r="B43" s="85" t="s">
        <v>304</v>
      </c>
      <c r="C43" s="85" t="s">
        <v>264</v>
      </c>
      <c r="D43" s="85" t="s">
        <v>32</v>
      </c>
      <c r="E43" s="85" t="s">
        <v>33</v>
      </c>
      <c r="F43" s="85" t="s">
        <v>34</v>
      </c>
      <c r="G43" s="85" t="s">
        <v>21</v>
      </c>
      <c r="H43" s="86">
        <v>46176</v>
      </c>
      <c r="I43" s="85">
        <v>425000</v>
      </c>
      <c r="J43" s="85">
        <v>3</v>
      </c>
    </row>
    <row r="44" spans="1:10" ht="16" customHeight="1">
      <c r="A44" s="85">
        <v>3101043</v>
      </c>
      <c r="B44" s="85" t="s">
        <v>45</v>
      </c>
      <c r="C44" s="85" t="s">
        <v>27</v>
      </c>
      <c r="D44" s="85" t="s">
        <v>18</v>
      </c>
      <c r="E44" s="85" t="s">
        <v>39</v>
      </c>
      <c r="F44" s="85" t="s">
        <v>24</v>
      </c>
      <c r="G44" s="85" t="s">
        <v>21</v>
      </c>
      <c r="H44" s="86">
        <v>46231</v>
      </c>
      <c r="I44" s="85">
        <v>510000</v>
      </c>
      <c r="J44" s="85">
        <v>3</v>
      </c>
    </row>
    <row r="45" spans="1:10" ht="16" customHeight="1">
      <c r="A45" s="85">
        <v>3101044</v>
      </c>
      <c r="B45" s="85" t="s">
        <v>272</v>
      </c>
      <c r="C45" s="85" t="s">
        <v>17</v>
      </c>
      <c r="D45" s="85" t="s">
        <v>18</v>
      </c>
      <c r="E45" s="85" t="s">
        <v>19</v>
      </c>
      <c r="F45" s="85" t="s">
        <v>20</v>
      </c>
      <c r="G45" s="85" t="s">
        <v>15</v>
      </c>
      <c r="H45" s="86">
        <v>46189</v>
      </c>
      <c r="I45" s="85">
        <v>470000</v>
      </c>
      <c r="J45" s="85">
        <v>0</v>
      </c>
    </row>
    <row r="46" spans="1:10" ht="16" customHeight="1">
      <c r="A46" s="85">
        <v>3101045</v>
      </c>
      <c r="B46" s="85" t="s">
        <v>294</v>
      </c>
      <c r="C46" s="85" t="s">
        <v>268</v>
      </c>
      <c r="D46" s="85" t="s">
        <v>32</v>
      </c>
      <c r="E46" s="85" t="s">
        <v>33</v>
      </c>
      <c r="F46" s="85" t="s">
        <v>24</v>
      </c>
      <c r="G46" s="85" t="s">
        <v>21</v>
      </c>
      <c r="H46" s="86">
        <v>46150</v>
      </c>
      <c r="I46" s="85">
        <v>445000</v>
      </c>
      <c r="J46" s="85">
        <v>1</v>
      </c>
    </row>
    <row r="47" spans="1:10" ht="16" customHeight="1">
      <c r="A47" s="85">
        <v>3101046</v>
      </c>
      <c r="B47" s="85" t="s">
        <v>255</v>
      </c>
      <c r="C47" s="85" t="s">
        <v>27</v>
      </c>
      <c r="D47" s="85" t="s">
        <v>12</v>
      </c>
      <c r="E47" s="85" t="s">
        <v>36</v>
      </c>
      <c r="F47" s="85" t="s">
        <v>24</v>
      </c>
      <c r="G47" s="85" t="s">
        <v>21</v>
      </c>
      <c r="H47" s="86">
        <v>46253</v>
      </c>
      <c r="I47" s="85">
        <v>765000</v>
      </c>
      <c r="J47" s="85">
        <v>4</v>
      </c>
    </row>
    <row r="48" spans="1:10" ht="16" customHeight="1">
      <c r="A48" s="85">
        <v>3101047</v>
      </c>
      <c r="B48" s="85" t="s">
        <v>305</v>
      </c>
      <c r="C48" s="85" t="s">
        <v>258</v>
      </c>
      <c r="D48" s="85" t="s">
        <v>12</v>
      </c>
      <c r="E48" s="85" t="s">
        <v>261</v>
      </c>
      <c r="F48" s="85" t="s">
        <v>24</v>
      </c>
      <c r="G48" s="85" t="s">
        <v>21</v>
      </c>
      <c r="H48" s="86">
        <v>46212</v>
      </c>
      <c r="I48" s="85">
        <v>575000</v>
      </c>
      <c r="J48" s="85">
        <v>3</v>
      </c>
    </row>
    <row r="49" spans="1:10" ht="16" customHeight="1">
      <c r="A49" s="85">
        <v>3101048</v>
      </c>
      <c r="B49" s="85" t="s">
        <v>306</v>
      </c>
      <c r="C49" s="85" t="s">
        <v>260</v>
      </c>
      <c r="D49" s="85" t="s">
        <v>28</v>
      </c>
      <c r="E49" s="85" t="s">
        <v>297</v>
      </c>
      <c r="F49" s="85" t="s">
        <v>24</v>
      </c>
      <c r="G49" s="85" t="s">
        <v>21</v>
      </c>
      <c r="H49" s="86">
        <v>46268</v>
      </c>
      <c r="I49" s="85">
        <v>415000</v>
      </c>
      <c r="J49" s="85">
        <v>3</v>
      </c>
    </row>
    <row r="50" spans="1:10" ht="16" customHeight="1">
      <c r="A50" s="85">
        <v>3101049</v>
      </c>
      <c r="B50" s="85" t="s">
        <v>271</v>
      </c>
      <c r="C50" s="85" t="s">
        <v>17</v>
      </c>
      <c r="D50" s="85" t="s">
        <v>12</v>
      </c>
      <c r="E50" s="85" t="s">
        <v>265</v>
      </c>
      <c r="F50" s="85" t="s">
        <v>24</v>
      </c>
      <c r="G50" s="85" t="s">
        <v>15</v>
      </c>
      <c r="H50" s="86">
        <v>46168</v>
      </c>
      <c r="I50" s="85">
        <v>610000</v>
      </c>
      <c r="J50" s="85">
        <v>3</v>
      </c>
    </row>
    <row r="51" spans="1:10" ht="16" customHeight="1">
      <c r="A51" s="85">
        <v>3101050</v>
      </c>
      <c r="B51" s="85" t="s">
        <v>307</v>
      </c>
      <c r="C51" s="85" t="s">
        <v>27</v>
      </c>
      <c r="D51" s="85" t="s">
        <v>12</v>
      </c>
      <c r="E51" s="85" t="s">
        <v>13</v>
      </c>
      <c r="F51" s="85" t="s">
        <v>34</v>
      </c>
      <c r="G51" s="85" t="s">
        <v>256</v>
      </c>
      <c r="H51" s="86">
        <v>46235</v>
      </c>
      <c r="I51" s="85">
        <v>595000</v>
      </c>
      <c r="J51" s="85">
        <v>4</v>
      </c>
    </row>
    <row r="52" spans="1:10" ht="16" customHeight="1">
      <c r="A52" s="85">
        <v>3101051</v>
      </c>
      <c r="B52" s="85" t="s">
        <v>255</v>
      </c>
      <c r="C52" s="85" t="s">
        <v>17</v>
      </c>
      <c r="D52" s="85" t="s">
        <v>18</v>
      </c>
      <c r="E52" s="85" t="s">
        <v>39</v>
      </c>
      <c r="F52" s="85" t="s">
        <v>34</v>
      </c>
      <c r="G52" s="85" t="s">
        <v>25</v>
      </c>
      <c r="H52" s="86">
        <v>46290</v>
      </c>
      <c r="I52" s="85">
        <v>385000</v>
      </c>
      <c r="J52" s="85">
        <v>5</v>
      </c>
    </row>
    <row r="53" spans="1:10" ht="16" customHeight="1">
      <c r="A53" s="85">
        <v>3101052</v>
      </c>
      <c r="B53" s="85" t="s">
        <v>263</v>
      </c>
      <c r="C53" s="85" t="s">
        <v>260</v>
      </c>
      <c r="D53" s="85" t="s">
        <v>32</v>
      </c>
      <c r="E53" s="85" t="s">
        <v>33</v>
      </c>
      <c r="F53" s="85" t="s">
        <v>24</v>
      </c>
      <c r="G53" s="85" t="s">
        <v>15</v>
      </c>
      <c r="H53" s="86">
        <v>46212</v>
      </c>
      <c r="I53" s="85">
        <v>415000</v>
      </c>
      <c r="J53" s="85">
        <v>0</v>
      </c>
    </row>
    <row r="54" spans="1:10" ht="16" customHeight="1">
      <c r="A54" s="85">
        <v>3101053</v>
      </c>
      <c r="B54" s="85" t="s">
        <v>45</v>
      </c>
      <c r="C54" s="85" t="s">
        <v>17</v>
      </c>
      <c r="D54" s="85" t="s">
        <v>32</v>
      </c>
      <c r="E54" s="85" t="s">
        <v>33</v>
      </c>
      <c r="F54" s="85" t="s">
        <v>14</v>
      </c>
      <c r="G54" s="85" t="s">
        <v>25</v>
      </c>
      <c r="H54" s="86">
        <v>46192</v>
      </c>
      <c r="I54" s="85">
        <v>310000</v>
      </c>
      <c r="J54" s="85">
        <v>5</v>
      </c>
    </row>
    <row r="55" spans="1:10" ht="16" customHeight="1">
      <c r="A55" s="85">
        <v>3101054</v>
      </c>
      <c r="B55" s="85" t="s">
        <v>252</v>
      </c>
      <c r="C55" s="85" t="s">
        <v>260</v>
      </c>
      <c r="D55" s="85" t="s">
        <v>18</v>
      </c>
      <c r="E55" s="85" t="s">
        <v>39</v>
      </c>
      <c r="F55" s="85" t="s">
        <v>14</v>
      </c>
      <c r="G55" s="85" t="s">
        <v>21</v>
      </c>
      <c r="H55" s="86">
        <v>46225</v>
      </c>
      <c r="I55" s="85">
        <v>400000</v>
      </c>
      <c r="J55" s="85">
        <v>1</v>
      </c>
    </row>
    <row r="56" spans="1:10" ht="16" customHeight="1">
      <c r="A56" s="85">
        <v>3101055</v>
      </c>
      <c r="B56" s="85" t="s">
        <v>279</v>
      </c>
      <c r="C56" s="85" t="s">
        <v>17</v>
      </c>
      <c r="D56" s="85" t="s">
        <v>12</v>
      </c>
      <c r="E56" s="85" t="s">
        <v>13</v>
      </c>
      <c r="F56" s="85" t="s">
        <v>20</v>
      </c>
      <c r="G56" s="85" t="s">
        <v>256</v>
      </c>
      <c r="H56" s="86">
        <v>46210</v>
      </c>
      <c r="I56" s="85">
        <v>380000</v>
      </c>
      <c r="J56" s="85">
        <v>3</v>
      </c>
    </row>
    <row r="57" spans="1:10" ht="16" customHeight="1">
      <c r="A57" s="85">
        <v>3101056</v>
      </c>
      <c r="B57" s="85" t="s">
        <v>308</v>
      </c>
      <c r="C57" s="85" t="s">
        <v>17</v>
      </c>
      <c r="D57" s="85" t="s">
        <v>12</v>
      </c>
      <c r="E57" s="85" t="s">
        <v>265</v>
      </c>
      <c r="F57" s="85" t="s">
        <v>14</v>
      </c>
      <c r="G57" s="85" t="s">
        <v>21</v>
      </c>
      <c r="H57" s="86">
        <v>46169</v>
      </c>
      <c r="I57" s="85">
        <v>755000</v>
      </c>
      <c r="J57" s="85">
        <v>5</v>
      </c>
    </row>
    <row r="58" spans="1:10" ht="16" customHeight="1">
      <c r="A58" s="85">
        <v>3101057</v>
      </c>
      <c r="B58" s="85" t="s">
        <v>46</v>
      </c>
      <c r="C58" s="85" t="s">
        <v>264</v>
      </c>
      <c r="D58" s="85" t="s">
        <v>28</v>
      </c>
      <c r="E58" s="85" t="s">
        <v>297</v>
      </c>
      <c r="F58" s="85" t="s">
        <v>14</v>
      </c>
      <c r="G58" s="85" t="s">
        <v>256</v>
      </c>
      <c r="H58" s="86">
        <v>46225</v>
      </c>
      <c r="I58" s="85">
        <v>445000</v>
      </c>
      <c r="J58" s="85">
        <v>4</v>
      </c>
    </row>
    <row r="59" spans="1:10" ht="16" customHeight="1">
      <c r="A59" s="85">
        <v>3101058</v>
      </c>
      <c r="B59" s="85" t="s">
        <v>301</v>
      </c>
      <c r="C59" s="85" t="s">
        <v>258</v>
      </c>
      <c r="D59" s="85" t="s">
        <v>32</v>
      </c>
      <c r="E59" s="85" t="s">
        <v>33</v>
      </c>
      <c r="F59" s="85" t="s">
        <v>14</v>
      </c>
      <c r="G59" s="85" t="s">
        <v>25</v>
      </c>
      <c r="H59" s="86">
        <v>46273</v>
      </c>
      <c r="I59" s="85">
        <v>360000</v>
      </c>
      <c r="J59" s="85">
        <v>5</v>
      </c>
    </row>
    <row r="60" spans="1:10" ht="16" customHeight="1">
      <c r="A60" s="85">
        <v>3101059</v>
      </c>
      <c r="B60" s="85" t="s">
        <v>309</v>
      </c>
      <c r="C60" s="85" t="s">
        <v>260</v>
      </c>
      <c r="D60" s="85" t="s">
        <v>12</v>
      </c>
      <c r="E60" s="85" t="s">
        <v>303</v>
      </c>
      <c r="F60" s="85" t="s">
        <v>14</v>
      </c>
      <c r="G60" s="85" t="s">
        <v>25</v>
      </c>
      <c r="H60" s="86">
        <v>46256</v>
      </c>
      <c r="I60" s="85">
        <v>680000</v>
      </c>
      <c r="J60" s="85">
        <v>0</v>
      </c>
    </row>
    <row r="61" spans="1:10" ht="16" customHeight="1">
      <c r="A61" s="85">
        <v>3101060</v>
      </c>
      <c r="B61" s="85" t="s">
        <v>270</v>
      </c>
      <c r="C61" s="85" t="s">
        <v>260</v>
      </c>
      <c r="D61" s="85" t="s">
        <v>32</v>
      </c>
      <c r="E61" s="85" t="s">
        <v>300</v>
      </c>
      <c r="F61" s="85" t="s">
        <v>14</v>
      </c>
      <c r="G61" s="85" t="s">
        <v>21</v>
      </c>
      <c r="H61" s="86">
        <v>46251</v>
      </c>
      <c r="I61" s="85">
        <v>370000</v>
      </c>
      <c r="J61" s="85">
        <v>2</v>
      </c>
    </row>
    <row r="62" spans="1:10" ht="16" customHeight="1">
      <c r="A62" s="85">
        <v>3101061</v>
      </c>
      <c r="B62" s="85" t="s">
        <v>285</v>
      </c>
      <c r="C62" s="85" t="s">
        <v>264</v>
      </c>
      <c r="D62" s="85" t="s">
        <v>12</v>
      </c>
      <c r="E62" s="85" t="s">
        <v>265</v>
      </c>
      <c r="F62" s="85" t="s">
        <v>14</v>
      </c>
      <c r="G62" s="85" t="s">
        <v>25</v>
      </c>
      <c r="H62" s="86">
        <v>46173</v>
      </c>
      <c r="I62" s="85">
        <v>795000</v>
      </c>
      <c r="J62" s="85">
        <v>1</v>
      </c>
    </row>
    <row r="63" spans="1:10" ht="16" customHeight="1">
      <c r="A63" s="85">
        <v>3101062</v>
      </c>
      <c r="B63" s="85" t="s">
        <v>286</v>
      </c>
      <c r="C63" s="85" t="s">
        <v>17</v>
      </c>
      <c r="D63" s="85" t="s">
        <v>12</v>
      </c>
      <c r="E63" s="85" t="s">
        <v>13</v>
      </c>
      <c r="F63" s="85" t="s">
        <v>24</v>
      </c>
      <c r="G63" s="85" t="s">
        <v>21</v>
      </c>
      <c r="H63" s="86">
        <v>46222</v>
      </c>
      <c r="I63" s="85">
        <v>515000</v>
      </c>
      <c r="J63" s="85">
        <v>0</v>
      </c>
    </row>
    <row r="64" spans="1:10" ht="16" customHeight="1">
      <c r="A64" s="85">
        <v>3101063</v>
      </c>
      <c r="B64" s="85" t="s">
        <v>275</v>
      </c>
      <c r="C64" s="85" t="s">
        <v>264</v>
      </c>
      <c r="D64" s="85" t="s">
        <v>28</v>
      </c>
      <c r="E64" s="85" t="s">
        <v>29</v>
      </c>
      <c r="F64" s="85" t="s">
        <v>20</v>
      </c>
      <c r="G64" s="85" t="s">
        <v>21</v>
      </c>
      <c r="H64" s="86">
        <v>46252</v>
      </c>
      <c r="I64" s="85">
        <v>370000</v>
      </c>
      <c r="J64" s="85">
        <v>5</v>
      </c>
    </row>
    <row r="65" spans="1:10" ht="16" customHeight="1">
      <c r="A65" s="85">
        <v>3101064</v>
      </c>
      <c r="B65" s="85" t="s">
        <v>275</v>
      </c>
      <c r="C65" s="85" t="s">
        <v>27</v>
      </c>
      <c r="D65" s="85" t="s">
        <v>18</v>
      </c>
      <c r="E65" s="85" t="s">
        <v>19</v>
      </c>
      <c r="F65" s="85" t="s">
        <v>14</v>
      </c>
      <c r="G65" s="85" t="s">
        <v>25</v>
      </c>
      <c r="H65" s="86">
        <v>46283</v>
      </c>
      <c r="I65" s="85">
        <v>475000</v>
      </c>
      <c r="J65" s="85">
        <v>5</v>
      </c>
    </row>
    <row r="66" spans="1:10" ht="16" customHeight="1">
      <c r="A66" s="85">
        <v>3101065</v>
      </c>
      <c r="B66" s="85" t="s">
        <v>310</v>
      </c>
      <c r="C66" s="85" t="s">
        <v>260</v>
      </c>
      <c r="D66" s="85" t="s">
        <v>12</v>
      </c>
      <c r="E66" s="85" t="s">
        <v>36</v>
      </c>
      <c r="F66" s="85" t="s">
        <v>24</v>
      </c>
      <c r="G66" s="85" t="s">
        <v>15</v>
      </c>
      <c r="H66" s="86">
        <v>46215</v>
      </c>
      <c r="I66" s="85">
        <v>805000</v>
      </c>
      <c r="J66" s="85">
        <v>4</v>
      </c>
    </row>
    <row r="67" spans="1:10" ht="16" customHeight="1">
      <c r="A67" s="85">
        <v>3101066</v>
      </c>
      <c r="B67" s="85" t="s">
        <v>306</v>
      </c>
      <c r="C67" s="85" t="s">
        <v>260</v>
      </c>
      <c r="D67" s="85" t="s">
        <v>12</v>
      </c>
      <c r="E67" s="85" t="s">
        <v>303</v>
      </c>
      <c r="F67" s="85" t="s">
        <v>24</v>
      </c>
      <c r="G67" s="85" t="s">
        <v>256</v>
      </c>
      <c r="H67" s="86">
        <v>46167</v>
      </c>
      <c r="I67" s="85">
        <v>850000</v>
      </c>
      <c r="J67" s="85">
        <v>1</v>
      </c>
    </row>
    <row r="68" spans="1:10" ht="16" customHeight="1">
      <c r="A68" s="85">
        <v>3101067</v>
      </c>
      <c r="B68" s="85" t="s">
        <v>274</v>
      </c>
      <c r="C68" s="85" t="s">
        <v>260</v>
      </c>
      <c r="D68" s="85" t="s">
        <v>12</v>
      </c>
      <c r="E68" s="85" t="s">
        <v>303</v>
      </c>
      <c r="F68" s="85" t="s">
        <v>34</v>
      </c>
      <c r="G68" s="85" t="s">
        <v>15</v>
      </c>
      <c r="H68" s="86">
        <v>46147</v>
      </c>
      <c r="I68" s="85">
        <v>655000</v>
      </c>
      <c r="J68" s="85">
        <v>5</v>
      </c>
    </row>
    <row r="69" spans="1:10" ht="16" customHeight="1">
      <c r="A69" s="85">
        <v>3101068</v>
      </c>
      <c r="B69" s="85" t="s">
        <v>304</v>
      </c>
      <c r="C69" s="85" t="s">
        <v>11</v>
      </c>
      <c r="D69" s="85" t="s">
        <v>12</v>
      </c>
      <c r="E69" s="85" t="s">
        <v>265</v>
      </c>
      <c r="F69" s="85" t="s">
        <v>24</v>
      </c>
      <c r="G69" s="85" t="s">
        <v>256</v>
      </c>
      <c r="H69" s="86">
        <v>46247</v>
      </c>
      <c r="I69" s="85">
        <v>630000</v>
      </c>
      <c r="J69" s="85">
        <v>5</v>
      </c>
    </row>
    <row r="70" spans="1:10" ht="16" customHeight="1">
      <c r="A70" s="85">
        <v>3101069</v>
      </c>
      <c r="B70" s="85" t="s">
        <v>272</v>
      </c>
      <c r="C70" s="85" t="s">
        <v>260</v>
      </c>
      <c r="D70" s="85" t="s">
        <v>12</v>
      </c>
      <c r="E70" s="85" t="s">
        <v>303</v>
      </c>
      <c r="F70" s="85" t="s">
        <v>24</v>
      </c>
      <c r="G70" s="85" t="s">
        <v>21</v>
      </c>
      <c r="H70" s="86">
        <v>46262</v>
      </c>
      <c r="I70" s="85">
        <v>790000</v>
      </c>
      <c r="J70" s="85">
        <v>5</v>
      </c>
    </row>
    <row r="71" spans="1:10" ht="16" customHeight="1">
      <c r="A71" s="85">
        <v>3101070</v>
      </c>
      <c r="B71" s="85" t="s">
        <v>304</v>
      </c>
      <c r="C71" s="85" t="s">
        <v>260</v>
      </c>
      <c r="D71" s="85" t="s">
        <v>12</v>
      </c>
      <c r="E71" s="85" t="s">
        <v>265</v>
      </c>
      <c r="F71" s="85" t="s">
        <v>24</v>
      </c>
      <c r="G71" s="85" t="s">
        <v>25</v>
      </c>
      <c r="H71" s="86">
        <v>46184</v>
      </c>
      <c r="I71" s="85">
        <v>400000</v>
      </c>
      <c r="J71" s="85">
        <v>3</v>
      </c>
    </row>
    <row r="72" spans="1:10" ht="16" customHeight="1">
      <c r="A72" s="85">
        <v>3101071</v>
      </c>
      <c r="B72" s="85" t="s">
        <v>288</v>
      </c>
      <c r="C72" s="85" t="s">
        <v>258</v>
      </c>
      <c r="D72" s="85" t="s">
        <v>12</v>
      </c>
      <c r="E72" s="85" t="s">
        <v>13</v>
      </c>
      <c r="F72" s="85" t="s">
        <v>24</v>
      </c>
      <c r="G72" s="85" t="s">
        <v>15</v>
      </c>
      <c r="H72" s="86">
        <v>46240</v>
      </c>
      <c r="I72" s="85">
        <v>610000</v>
      </c>
      <c r="J72" s="85">
        <v>4</v>
      </c>
    </row>
    <row r="73" spans="1:10" ht="16" customHeight="1">
      <c r="A73" s="85">
        <v>3101072</v>
      </c>
      <c r="B73" s="85" t="s">
        <v>287</v>
      </c>
      <c r="C73" s="85" t="s">
        <v>27</v>
      </c>
      <c r="D73" s="85" t="s">
        <v>32</v>
      </c>
      <c r="E73" s="85" t="s">
        <v>300</v>
      </c>
      <c r="F73" s="85" t="s">
        <v>14</v>
      </c>
      <c r="G73" s="85" t="s">
        <v>256</v>
      </c>
      <c r="H73" s="86">
        <v>46149</v>
      </c>
      <c r="I73" s="85">
        <v>310000</v>
      </c>
      <c r="J73" s="85">
        <v>4</v>
      </c>
    </row>
    <row r="74" spans="1:10" ht="16" customHeight="1">
      <c r="A74" s="85">
        <v>3101073</v>
      </c>
      <c r="B74" s="85" t="s">
        <v>283</v>
      </c>
      <c r="C74" s="85" t="s">
        <v>11</v>
      </c>
      <c r="D74" s="85" t="s">
        <v>28</v>
      </c>
      <c r="E74" s="85" t="s">
        <v>29</v>
      </c>
      <c r="F74" s="85" t="s">
        <v>20</v>
      </c>
      <c r="G74" s="85" t="s">
        <v>21</v>
      </c>
      <c r="H74" s="86">
        <v>46277</v>
      </c>
      <c r="I74" s="85">
        <v>350000</v>
      </c>
      <c r="J74" s="85">
        <v>5</v>
      </c>
    </row>
    <row r="75" spans="1:10" ht="16" customHeight="1">
      <c r="A75" s="85">
        <v>3101074</v>
      </c>
      <c r="B75" s="85" t="s">
        <v>278</v>
      </c>
      <c r="C75" s="85" t="s">
        <v>17</v>
      </c>
      <c r="D75" s="85" t="s">
        <v>12</v>
      </c>
      <c r="E75" s="85" t="s">
        <v>36</v>
      </c>
      <c r="F75" s="85" t="s">
        <v>20</v>
      </c>
      <c r="G75" s="85" t="s">
        <v>21</v>
      </c>
      <c r="H75" s="86">
        <v>46211</v>
      </c>
      <c r="I75" s="85">
        <v>525000</v>
      </c>
      <c r="J75" s="85">
        <v>2</v>
      </c>
    </row>
    <row r="76" spans="1:10" ht="16" customHeight="1">
      <c r="A76" s="85">
        <v>3101075</v>
      </c>
      <c r="B76" s="85" t="s">
        <v>289</v>
      </c>
      <c r="C76" s="85" t="s">
        <v>27</v>
      </c>
      <c r="D76" s="85" t="s">
        <v>12</v>
      </c>
      <c r="E76" s="85" t="s">
        <v>261</v>
      </c>
      <c r="F76" s="85" t="s">
        <v>34</v>
      </c>
      <c r="G76" s="85" t="s">
        <v>25</v>
      </c>
      <c r="H76" s="86">
        <v>46236</v>
      </c>
      <c r="I76" s="85">
        <v>540000</v>
      </c>
      <c r="J76" s="85">
        <v>1</v>
      </c>
    </row>
    <row r="77" spans="1:10" ht="16" customHeight="1">
      <c r="A77" s="85">
        <v>3101076</v>
      </c>
      <c r="B77" s="85" t="s">
        <v>289</v>
      </c>
      <c r="C77" s="85" t="s">
        <v>11</v>
      </c>
      <c r="D77" s="85" t="s">
        <v>18</v>
      </c>
      <c r="E77" s="85" t="s">
        <v>39</v>
      </c>
      <c r="F77" s="85" t="s">
        <v>20</v>
      </c>
      <c r="G77" s="85" t="s">
        <v>256</v>
      </c>
      <c r="H77" s="86">
        <v>46236</v>
      </c>
      <c r="I77" s="85">
        <v>370000</v>
      </c>
      <c r="J77" s="85">
        <v>4</v>
      </c>
    </row>
    <row r="78" spans="1:10" ht="16" customHeight="1">
      <c r="A78" s="85">
        <v>3101077</v>
      </c>
      <c r="B78" s="85" t="s">
        <v>277</v>
      </c>
      <c r="C78" s="85" t="s">
        <v>27</v>
      </c>
      <c r="D78" s="85" t="s">
        <v>12</v>
      </c>
      <c r="E78" s="85" t="s">
        <v>303</v>
      </c>
      <c r="F78" s="85" t="s">
        <v>24</v>
      </c>
      <c r="G78" s="85" t="s">
        <v>15</v>
      </c>
      <c r="H78" s="86">
        <v>46174</v>
      </c>
      <c r="I78" s="85">
        <v>500000</v>
      </c>
      <c r="J78" s="85">
        <v>4</v>
      </c>
    </row>
    <row r="79" spans="1:10" ht="16" customHeight="1">
      <c r="A79" s="85">
        <v>3101078</v>
      </c>
      <c r="B79" s="85" t="s">
        <v>253</v>
      </c>
      <c r="C79" s="85" t="s">
        <v>17</v>
      </c>
      <c r="D79" s="85" t="s">
        <v>12</v>
      </c>
      <c r="E79" s="85" t="s">
        <v>303</v>
      </c>
      <c r="F79" s="85" t="s">
        <v>34</v>
      </c>
      <c r="G79" s="85" t="s">
        <v>15</v>
      </c>
      <c r="H79" s="86">
        <v>46184</v>
      </c>
      <c r="I79" s="85">
        <v>890000</v>
      </c>
      <c r="J79" s="85">
        <v>4</v>
      </c>
    </row>
    <row r="80" spans="1:10" ht="16" customHeight="1">
      <c r="A80" s="85">
        <v>3101079</v>
      </c>
      <c r="B80" s="85" t="s">
        <v>293</v>
      </c>
      <c r="C80" s="85" t="s">
        <v>27</v>
      </c>
      <c r="D80" s="85" t="s">
        <v>12</v>
      </c>
      <c r="E80" s="85" t="s">
        <v>23</v>
      </c>
      <c r="F80" s="85" t="s">
        <v>34</v>
      </c>
      <c r="G80" s="85" t="s">
        <v>21</v>
      </c>
      <c r="H80" s="86">
        <v>46163</v>
      </c>
      <c r="I80" s="85">
        <v>585000</v>
      </c>
      <c r="J80" s="85">
        <v>3</v>
      </c>
    </row>
    <row r="81" spans="1:10" ht="16" customHeight="1">
      <c r="A81" s="85">
        <v>3101080</v>
      </c>
      <c r="B81" s="85" t="s">
        <v>267</v>
      </c>
      <c r="C81" s="85" t="s">
        <v>17</v>
      </c>
      <c r="D81" s="85" t="s">
        <v>12</v>
      </c>
      <c r="E81" s="85" t="s">
        <v>303</v>
      </c>
      <c r="F81" s="85" t="s">
        <v>20</v>
      </c>
      <c r="G81" s="85" t="s">
        <v>256</v>
      </c>
      <c r="H81" s="86">
        <v>46175</v>
      </c>
      <c r="I81" s="85">
        <v>830000</v>
      </c>
      <c r="J81" s="85">
        <v>4</v>
      </c>
    </row>
    <row r="82" spans="1:10" ht="16" customHeight="1">
      <c r="A82" s="85">
        <v>3101081</v>
      </c>
      <c r="B82" s="85" t="s">
        <v>293</v>
      </c>
      <c r="C82" s="85" t="s">
        <v>264</v>
      </c>
      <c r="D82" s="85" t="s">
        <v>32</v>
      </c>
      <c r="E82" s="85" t="s">
        <v>33</v>
      </c>
      <c r="F82" s="85" t="s">
        <v>20</v>
      </c>
      <c r="G82" s="85" t="s">
        <v>256</v>
      </c>
      <c r="H82" s="86">
        <v>46233</v>
      </c>
      <c r="I82" s="85">
        <v>300000</v>
      </c>
      <c r="J82" s="85">
        <v>0</v>
      </c>
    </row>
    <row r="83" spans="1:10" ht="16" customHeight="1">
      <c r="A83" s="85">
        <v>3101082</v>
      </c>
      <c r="B83" s="85" t="s">
        <v>281</v>
      </c>
      <c r="C83" s="85" t="s">
        <v>268</v>
      </c>
      <c r="D83" s="85" t="s">
        <v>12</v>
      </c>
      <c r="E83" s="85" t="s">
        <v>261</v>
      </c>
      <c r="F83" s="85" t="s">
        <v>34</v>
      </c>
      <c r="G83" s="85" t="s">
        <v>25</v>
      </c>
      <c r="H83" s="86">
        <v>46202</v>
      </c>
      <c r="I83" s="85">
        <v>520000</v>
      </c>
      <c r="J83" s="85">
        <v>1</v>
      </c>
    </row>
    <row r="84" spans="1:10" ht="16" customHeight="1">
      <c r="A84" s="85">
        <v>3101083</v>
      </c>
      <c r="B84" s="85" t="s">
        <v>311</v>
      </c>
      <c r="C84" s="85" t="s">
        <v>264</v>
      </c>
      <c r="D84" s="85" t="s">
        <v>12</v>
      </c>
      <c r="E84" s="85" t="s">
        <v>303</v>
      </c>
      <c r="F84" s="85" t="s">
        <v>20</v>
      </c>
      <c r="G84" s="85" t="s">
        <v>21</v>
      </c>
      <c r="H84" s="86">
        <v>46190</v>
      </c>
      <c r="I84" s="85">
        <v>795000</v>
      </c>
      <c r="J84" s="85">
        <v>1</v>
      </c>
    </row>
    <row r="85" spans="1:10" ht="16" customHeight="1">
      <c r="A85" s="85">
        <v>3101084</v>
      </c>
      <c r="B85" s="85" t="s">
        <v>47</v>
      </c>
      <c r="C85" s="85" t="s">
        <v>264</v>
      </c>
      <c r="D85" s="85" t="s">
        <v>12</v>
      </c>
      <c r="E85" s="85" t="s">
        <v>303</v>
      </c>
      <c r="F85" s="85" t="s">
        <v>20</v>
      </c>
      <c r="G85" s="85" t="s">
        <v>256</v>
      </c>
      <c r="H85" s="86">
        <v>46242</v>
      </c>
      <c r="I85" s="85">
        <v>595000</v>
      </c>
      <c r="J85" s="85">
        <v>1</v>
      </c>
    </row>
    <row r="86" spans="1:10" ht="16" customHeight="1">
      <c r="A86" s="85">
        <v>3101085</v>
      </c>
      <c r="B86" s="85" t="s">
        <v>302</v>
      </c>
      <c r="C86" s="85" t="s">
        <v>27</v>
      </c>
      <c r="D86" s="85" t="s">
        <v>28</v>
      </c>
      <c r="E86" s="85" t="s">
        <v>29</v>
      </c>
      <c r="F86" s="85" t="s">
        <v>34</v>
      </c>
      <c r="G86" s="85" t="s">
        <v>21</v>
      </c>
      <c r="H86" s="86">
        <v>46175</v>
      </c>
      <c r="I86" s="85">
        <v>385000</v>
      </c>
      <c r="J86" s="85">
        <v>2</v>
      </c>
    </row>
    <row r="87" spans="1:10" ht="16" customHeight="1">
      <c r="A87" s="85">
        <v>3101086</v>
      </c>
      <c r="B87" s="85" t="s">
        <v>302</v>
      </c>
      <c r="C87" s="85" t="s">
        <v>260</v>
      </c>
      <c r="D87" s="85" t="s">
        <v>12</v>
      </c>
      <c r="E87" s="85" t="s">
        <v>36</v>
      </c>
      <c r="F87" s="85" t="s">
        <v>34</v>
      </c>
      <c r="G87" s="85" t="s">
        <v>15</v>
      </c>
      <c r="H87" s="86">
        <v>46181</v>
      </c>
      <c r="I87" s="85">
        <v>575000</v>
      </c>
      <c r="J87" s="85">
        <v>4</v>
      </c>
    </row>
    <row r="88" spans="1:10" ht="16" customHeight="1">
      <c r="A88" s="85">
        <v>3101087</v>
      </c>
      <c r="B88" s="85" t="s">
        <v>269</v>
      </c>
      <c r="C88" s="85" t="s">
        <v>260</v>
      </c>
      <c r="D88" s="85" t="s">
        <v>18</v>
      </c>
      <c r="E88" s="85" t="s">
        <v>39</v>
      </c>
      <c r="F88" s="85" t="s">
        <v>20</v>
      </c>
      <c r="G88" s="85" t="s">
        <v>25</v>
      </c>
      <c r="H88" s="86">
        <v>46247</v>
      </c>
      <c r="I88" s="85">
        <v>495000</v>
      </c>
      <c r="J88" s="85">
        <v>0</v>
      </c>
    </row>
    <row r="89" spans="1:10" ht="16" customHeight="1">
      <c r="A89" s="85">
        <v>3101088</v>
      </c>
      <c r="B89" s="85" t="s">
        <v>270</v>
      </c>
      <c r="C89" s="85" t="s">
        <v>258</v>
      </c>
      <c r="D89" s="85" t="s">
        <v>12</v>
      </c>
      <c r="E89" s="85" t="s">
        <v>303</v>
      </c>
      <c r="F89" s="85" t="s">
        <v>14</v>
      </c>
      <c r="G89" s="85" t="s">
        <v>25</v>
      </c>
      <c r="H89" s="86">
        <v>46271</v>
      </c>
      <c r="I89" s="85">
        <v>845000</v>
      </c>
      <c r="J89" s="85">
        <v>5</v>
      </c>
    </row>
    <row r="90" spans="1:10" ht="16" customHeight="1">
      <c r="A90" s="85">
        <v>3101089</v>
      </c>
      <c r="B90" s="85" t="s">
        <v>174</v>
      </c>
      <c r="C90" s="85" t="s">
        <v>258</v>
      </c>
      <c r="D90" s="85" t="s">
        <v>12</v>
      </c>
      <c r="E90" s="85" t="s">
        <v>303</v>
      </c>
      <c r="F90" s="85" t="s">
        <v>34</v>
      </c>
      <c r="G90" s="85" t="s">
        <v>15</v>
      </c>
      <c r="H90" s="86">
        <v>46247</v>
      </c>
      <c r="I90" s="85">
        <v>610000</v>
      </c>
      <c r="J90" s="85">
        <v>5</v>
      </c>
    </row>
    <row r="91" spans="1:10" ht="16" customHeight="1">
      <c r="A91" s="85">
        <v>3101090</v>
      </c>
      <c r="B91" s="85" t="s">
        <v>273</v>
      </c>
      <c r="C91" s="85" t="s">
        <v>260</v>
      </c>
      <c r="D91" s="85" t="s">
        <v>18</v>
      </c>
      <c r="E91" s="85" t="s">
        <v>19</v>
      </c>
      <c r="F91" s="85" t="s">
        <v>34</v>
      </c>
      <c r="G91" s="85" t="s">
        <v>15</v>
      </c>
      <c r="H91" s="86">
        <v>46293</v>
      </c>
      <c r="I91" s="85">
        <v>495000</v>
      </c>
      <c r="J91" s="85">
        <v>5</v>
      </c>
    </row>
    <row r="92" spans="1:10" ht="16" customHeight="1">
      <c r="A92" s="85">
        <v>3101091</v>
      </c>
      <c r="B92" s="85" t="s">
        <v>306</v>
      </c>
      <c r="C92" s="85" t="s">
        <v>268</v>
      </c>
      <c r="D92" s="85" t="s">
        <v>28</v>
      </c>
      <c r="E92" s="85" t="s">
        <v>297</v>
      </c>
      <c r="F92" s="85" t="s">
        <v>34</v>
      </c>
      <c r="G92" s="85" t="s">
        <v>15</v>
      </c>
      <c r="H92" s="86">
        <v>46201</v>
      </c>
      <c r="I92" s="85">
        <v>415000</v>
      </c>
      <c r="J92" s="85">
        <v>5</v>
      </c>
    </row>
    <row r="93" spans="1:10" ht="16" customHeight="1">
      <c r="A93" s="85">
        <v>3101092</v>
      </c>
      <c r="B93" s="85" t="s">
        <v>269</v>
      </c>
      <c r="C93" s="85" t="s">
        <v>264</v>
      </c>
      <c r="D93" s="85" t="s">
        <v>12</v>
      </c>
      <c r="E93" s="85" t="s">
        <v>13</v>
      </c>
      <c r="F93" s="85" t="s">
        <v>24</v>
      </c>
      <c r="G93" s="85" t="s">
        <v>25</v>
      </c>
      <c r="H93" s="86">
        <v>46276</v>
      </c>
      <c r="I93" s="85">
        <v>575000</v>
      </c>
      <c r="J93" s="85">
        <v>2</v>
      </c>
    </row>
    <row r="94" spans="1:10" ht="16" customHeight="1">
      <c r="A94" s="85">
        <v>3101093</v>
      </c>
      <c r="B94" s="85" t="s">
        <v>253</v>
      </c>
      <c r="C94" s="85" t="s">
        <v>17</v>
      </c>
      <c r="D94" s="85" t="s">
        <v>18</v>
      </c>
      <c r="E94" s="85" t="s">
        <v>19</v>
      </c>
      <c r="F94" s="85" t="s">
        <v>24</v>
      </c>
      <c r="G94" s="85" t="s">
        <v>21</v>
      </c>
      <c r="H94" s="86">
        <v>46147</v>
      </c>
      <c r="I94" s="85">
        <v>345000</v>
      </c>
      <c r="J94" s="85">
        <v>0</v>
      </c>
    </row>
    <row r="95" spans="1:10" ht="16" customHeight="1">
      <c r="A95" s="85">
        <v>3101094</v>
      </c>
      <c r="B95" s="85" t="s">
        <v>270</v>
      </c>
      <c r="C95" s="85" t="s">
        <v>38</v>
      </c>
      <c r="D95" s="85" t="s">
        <v>28</v>
      </c>
      <c r="E95" s="85" t="s">
        <v>297</v>
      </c>
      <c r="F95" s="85" t="s">
        <v>24</v>
      </c>
      <c r="G95" s="85" t="s">
        <v>25</v>
      </c>
      <c r="H95" s="86">
        <v>46188</v>
      </c>
      <c r="I95" s="85">
        <v>475000</v>
      </c>
      <c r="J95" s="85">
        <v>5</v>
      </c>
    </row>
    <row r="96" spans="1:10" ht="16" customHeight="1">
      <c r="A96" s="85">
        <v>3101095</v>
      </c>
      <c r="B96" s="85" t="s">
        <v>305</v>
      </c>
      <c r="C96" s="85" t="s">
        <v>258</v>
      </c>
      <c r="D96" s="85" t="s">
        <v>32</v>
      </c>
      <c r="E96" s="85" t="s">
        <v>300</v>
      </c>
      <c r="F96" s="85" t="s">
        <v>24</v>
      </c>
      <c r="G96" s="85" t="s">
        <v>15</v>
      </c>
      <c r="H96" s="86">
        <v>46214</v>
      </c>
      <c r="I96" s="85">
        <v>285000</v>
      </c>
      <c r="J96" s="85">
        <v>3</v>
      </c>
    </row>
    <row r="97" spans="1:10" ht="16" customHeight="1">
      <c r="A97" s="85">
        <v>3101096</v>
      </c>
      <c r="B97" s="85" t="s">
        <v>276</v>
      </c>
      <c r="C97" s="85" t="s">
        <v>38</v>
      </c>
      <c r="D97" s="85" t="s">
        <v>28</v>
      </c>
      <c r="E97" s="85" t="s">
        <v>297</v>
      </c>
      <c r="F97" s="85" t="s">
        <v>34</v>
      </c>
      <c r="G97" s="85" t="s">
        <v>21</v>
      </c>
      <c r="H97" s="86">
        <v>46226</v>
      </c>
      <c r="I97" s="85">
        <v>530000</v>
      </c>
      <c r="J97" s="85">
        <v>4</v>
      </c>
    </row>
    <row r="98" spans="1:10" ht="16" customHeight="1">
      <c r="A98" s="85">
        <v>3101097</v>
      </c>
      <c r="B98" s="85" t="s">
        <v>279</v>
      </c>
      <c r="C98" s="85" t="s">
        <v>268</v>
      </c>
      <c r="D98" s="85" t="s">
        <v>12</v>
      </c>
      <c r="E98" s="85" t="s">
        <v>303</v>
      </c>
      <c r="F98" s="85" t="s">
        <v>34</v>
      </c>
      <c r="G98" s="85" t="s">
        <v>15</v>
      </c>
      <c r="H98" s="86">
        <v>46270</v>
      </c>
      <c r="I98" s="85">
        <v>510000</v>
      </c>
      <c r="J98" s="85">
        <v>1</v>
      </c>
    </row>
    <row r="99" spans="1:10" ht="16" customHeight="1">
      <c r="A99" s="85">
        <v>3101098</v>
      </c>
      <c r="B99" s="85" t="s">
        <v>298</v>
      </c>
      <c r="C99" s="85" t="s">
        <v>264</v>
      </c>
      <c r="D99" s="85" t="s">
        <v>12</v>
      </c>
      <c r="E99" s="85" t="s">
        <v>261</v>
      </c>
      <c r="F99" s="85" t="s">
        <v>20</v>
      </c>
      <c r="G99" s="85" t="s">
        <v>15</v>
      </c>
      <c r="H99" s="86">
        <v>46215</v>
      </c>
      <c r="I99" s="85">
        <v>685000</v>
      </c>
      <c r="J99" s="85">
        <v>4</v>
      </c>
    </row>
    <row r="100" spans="1:10" ht="16" customHeight="1">
      <c r="A100" s="85">
        <v>3101099</v>
      </c>
      <c r="B100" s="85" t="s">
        <v>26</v>
      </c>
      <c r="C100" s="85" t="s">
        <v>260</v>
      </c>
      <c r="D100" s="85" t="s">
        <v>12</v>
      </c>
      <c r="E100" s="85" t="s">
        <v>265</v>
      </c>
      <c r="F100" s="85" t="s">
        <v>14</v>
      </c>
      <c r="G100" s="85" t="s">
        <v>256</v>
      </c>
      <c r="H100" s="86">
        <v>46161</v>
      </c>
      <c r="I100" s="85">
        <v>725000</v>
      </c>
      <c r="J100" s="85">
        <v>5</v>
      </c>
    </row>
    <row r="101" spans="1:10" ht="16" customHeight="1">
      <c r="A101" s="85">
        <v>3101100</v>
      </c>
      <c r="B101" s="85" t="s">
        <v>267</v>
      </c>
      <c r="C101" s="85" t="s">
        <v>268</v>
      </c>
      <c r="D101" s="85" t="s">
        <v>18</v>
      </c>
      <c r="E101" s="85" t="s">
        <v>39</v>
      </c>
      <c r="F101" s="85" t="s">
        <v>14</v>
      </c>
      <c r="G101" s="85" t="s">
        <v>256</v>
      </c>
      <c r="H101" s="86">
        <v>46278</v>
      </c>
      <c r="I101" s="85">
        <v>420000</v>
      </c>
      <c r="J101" s="85">
        <v>4</v>
      </c>
    </row>
    <row r="102" spans="1:10" ht="16" customHeight="1">
      <c r="A102" s="85">
        <v>3101101</v>
      </c>
      <c r="B102" s="85" t="s">
        <v>295</v>
      </c>
      <c r="C102" s="85" t="s">
        <v>264</v>
      </c>
      <c r="D102" s="85" t="s">
        <v>32</v>
      </c>
      <c r="E102" s="85" t="s">
        <v>33</v>
      </c>
      <c r="F102" s="85" t="s">
        <v>34</v>
      </c>
      <c r="G102" s="85" t="s">
        <v>21</v>
      </c>
      <c r="H102" s="86">
        <v>46164</v>
      </c>
      <c r="I102" s="85">
        <v>335000</v>
      </c>
      <c r="J102" s="85">
        <v>4</v>
      </c>
    </row>
    <row r="103" spans="1:10" ht="16" customHeight="1">
      <c r="A103" s="85">
        <v>3101102</v>
      </c>
      <c r="B103" s="85" t="s">
        <v>279</v>
      </c>
      <c r="C103" s="85" t="s">
        <v>258</v>
      </c>
      <c r="D103" s="85" t="s">
        <v>32</v>
      </c>
      <c r="E103" s="85" t="s">
        <v>33</v>
      </c>
      <c r="F103" s="85" t="s">
        <v>14</v>
      </c>
      <c r="G103" s="85" t="s">
        <v>256</v>
      </c>
      <c r="H103" s="86">
        <v>46199</v>
      </c>
      <c r="I103" s="85">
        <v>425000</v>
      </c>
      <c r="J103" s="85">
        <v>0</v>
      </c>
    </row>
    <row r="104" spans="1:10" ht="16" customHeight="1">
      <c r="A104" s="85">
        <v>3101103</v>
      </c>
      <c r="B104" s="85" t="s">
        <v>290</v>
      </c>
      <c r="C104" s="85" t="s">
        <v>38</v>
      </c>
      <c r="D104" s="85" t="s">
        <v>28</v>
      </c>
      <c r="E104" s="85" t="s">
        <v>29</v>
      </c>
      <c r="F104" s="85" t="s">
        <v>24</v>
      </c>
      <c r="G104" s="85" t="s">
        <v>21</v>
      </c>
      <c r="H104" s="86">
        <v>46214</v>
      </c>
      <c r="I104" s="85">
        <v>455000</v>
      </c>
      <c r="J104" s="85">
        <v>5</v>
      </c>
    </row>
    <row r="105" spans="1:10" ht="16" customHeight="1">
      <c r="A105" s="85">
        <v>3101104</v>
      </c>
      <c r="B105" s="85" t="s">
        <v>262</v>
      </c>
      <c r="C105" s="85" t="s">
        <v>264</v>
      </c>
      <c r="D105" s="85" t="s">
        <v>12</v>
      </c>
      <c r="E105" s="85" t="s">
        <v>303</v>
      </c>
      <c r="F105" s="85" t="s">
        <v>20</v>
      </c>
      <c r="G105" s="85" t="s">
        <v>21</v>
      </c>
      <c r="H105" s="86">
        <v>46283</v>
      </c>
      <c r="I105" s="85">
        <v>595000</v>
      </c>
      <c r="J105" s="85">
        <v>1</v>
      </c>
    </row>
    <row r="106" spans="1:10" ht="16" customHeight="1">
      <c r="A106" s="85">
        <v>3101105</v>
      </c>
      <c r="B106" s="85" t="s">
        <v>259</v>
      </c>
      <c r="C106" s="85" t="s">
        <v>27</v>
      </c>
      <c r="D106" s="85" t="s">
        <v>12</v>
      </c>
      <c r="E106" s="85" t="s">
        <v>36</v>
      </c>
      <c r="F106" s="85" t="s">
        <v>14</v>
      </c>
      <c r="G106" s="85" t="s">
        <v>25</v>
      </c>
      <c r="H106" s="86">
        <v>46153</v>
      </c>
      <c r="I106" s="85">
        <v>690000</v>
      </c>
      <c r="J106" s="85">
        <v>2</v>
      </c>
    </row>
    <row r="107" spans="1:10" ht="16" customHeight="1">
      <c r="A107" s="85">
        <v>3101106</v>
      </c>
      <c r="B107" s="85" t="s">
        <v>44</v>
      </c>
      <c r="C107" s="85" t="s">
        <v>27</v>
      </c>
      <c r="D107" s="85" t="s">
        <v>12</v>
      </c>
      <c r="E107" s="85" t="s">
        <v>261</v>
      </c>
      <c r="F107" s="85" t="s">
        <v>34</v>
      </c>
      <c r="G107" s="85" t="s">
        <v>15</v>
      </c>
      <c r="H107" s="86">
        <v>46188</v>
      </c>
      <c r="I107" s="85">
        <v>640000</v>
      </c>
      <c r="J107" s="85">
        <v>1</v>
      </c>
    </row>
    <row r="108" spans="1:10" ht="16" customHeight="1">
      <c r="A108" s="85">
        <v>3101107</v>
      </c>
      <c r="B108" s="85" t="s">
        <v>294</v>
      </c>
      <c r="C108" s="85" t="s">
        <v>27</v>
      </c>
      <c r="D108" s="85" t="s">
        <v>32</v>
      </c>
      <c r="E108" s="85" t="s">
        <v>33</v>
      </c>
      <c r="F108" s="85" t="s">
        <v>24</v>
      </c>
      <c r="G108" s="85" t="s">
        <v>21</v>
      </c>
      <c r="H108" s="86">
        <v>46270</v>
      </c>
      <c r="I108" s="85">
        <v>285000</v>
      </c>
      <c r="J108" s="85">
        <v>4</v>
      </c>
    </row>
    <row r="109" spans="1:10" ht="16" customHeight="1">
      <c r="A109" s="85">
        <v>3101108</v>
      </c>
      <c r="B109" s="85" t="s">
        <v>267</v>
      </c>
      <c r="C109" s="85" t="s">
        <v>38</v>
      </c>
      <c r="D109" s="85" t="s">
        <v>18</v>
      </c>
      <c r="E109" s="85" t="s">
        <v>19</v>
      </c>
      <c r="F109" s="85" t="s">
        <v>34</v>
      </c>
      <c r="G109" s="85" t="s">
        <v>256</v>
      </c>
      <c r="H109" s="86">
        <v>46168</v>
      </c>
      <c r="I109" s="85">
        <v>430000</v>
      </c>
      <c r="J109" s="85">
        <v>3</v>
      </c>
    </row>
    <row r="110" spans="1:10" ht="16" customHeight="1">
      <c r="A110" s="85">
        <v>3101109</v>
      </c>
      <c r="B110" s="85" t="s">
        <v>259</v>
      </c>
      <c r="C110" s="85" t="s">
        <v>264</v>
      </c>
      <c r="D110" s="85" t="s">
        <v>12</v>
      </c>
      <c r="E110" s="85" t="s">
        <v>36</v>
      </c>
      <c r="F110" s="85" t="s">
        <v>14</v>
      </c>
      <c r="G110" s="85" t="s">
        <v>21</v>
      </c>
      <c r="H110" s="86">
        <v>46159</v>
      </c>
      <c r="I110" s="85">
        <v>725000</v>
      </c>
      <c r="J110" s="85">
        <v>0</v>
      </c>
    </row>
    <row r="111" spans="1:10" ht="16" customHeight="1">
      <c r="A111" s="85">
        <v>3101110</v>
      </c>
      <c r="B111" s="85" t="s">
        <v>279</v>
      </c>
      <c r="C111" s="85" t="s">
        <v>264</v>
      </c>
      <c r="D111" s="85" t="s">
        <v>12</v>
      </c>
      <c r="E111" s="85" t="s">
        <v>13</v>
      </c>
      <c r="F111" s="85" t="s">
        <v>24</v>
      </c>
      <c r="G111" s="85" t="s">
        <v>21</v>
      </c>
      <c r="H111" s="86">
        <v>46168</v>
      </c>
      <c r="I111" s="85">
        <v>590000</v>
      </c>
      <c r="J111" s="85">
        <v>3</v>
      </c>
    </row>
    <row r="112" spans="1:10" ht="16" customHeight="1">
      <c r="A112" s="85">
        <v>3101111</v>
      </c>
      <c r="B112" s="85" t="s">
        <v>311</v>
      </c>
      <c r="C112" s="85" t="s">
        <v>38</v>
      </c>
      <c r="D112" s="85" t="s">
        <v>12</v>
      </c>
      <c r="E112" s="85" t="s">
        <v>36</v>
      </c>
      <c r="F112" s="85" t="s">
        <v>24</v>
      </c>
      <c r="G112" s="85" t="s">
        <v>15</v>
      </c>
      <c r="H112" s="86">
        <v>46271</v>
      </c>
      <c r="I112" s="85">
        <v>735000</v>
      </c>
      <c r="J112" s="85">
        <v>1</v>
      </c>
    </row>
    <row r="113" spans="1:10" ht="16" customHeight="1">
      <c r="A113" s="85">
        <v>3101112</v>
      </c>
      <c r="B113" s="85" t="s">
        <v>169</v>
      </c>
      <c r="C113" s="85" t="s">
        <v>258</v>
      </c>
      <c r="D113" s="85" t="s">
        <v>32</v>
      </c>
      <c r="E113" s="85" t="s">
        <v>300</v>
      </c>
      <c r="F113" s="85" t="s">
        <v>20</v>
      </c>
      <c r="G113" s="85" t="s">
        <v>21</v>
      </c>
      <c r="H113" s="86">
        <v>46237</v>
      </c>
      <c r="I113" s="85">
        <v>310000</v>
      </c>
      <c r="J113" s="85">
        <v>5</v>
      </c>
    </row>
    <row r="114" spans="1:10" ht="16" customHeight="1">
      <c r="A114" s="85">
        <v>3101113</v>
      </c>
      <c r="B114" s="85" t="s">
        <v>283</v>
      </c>
      <c r="C114" s="85" t="s">
        <v>268</v>
      </c>
      <c r="D114" s="85" t="s">
        <v>18</v>
      </c>
      <c r="E114" s="85" t="s">
        <v>19</v>
      </c>
      <c r="F114" s="85" t="s">
        <v>20</v>
      </c>
      <c r="G114" s="85" t="s">
        <v>15</v>
      </c>
      <c r="H114" s="86">
        <v>46199</v>
      </c>
      <c r="I114" s="85">
        <v>360000</v>
      </c>
      <c r="J114" s="85">
        <v>5</v>
      </c>
    </row>
    <row r="115" spans="1:10" ht="16" customHeight="1">
      <c r="A115" s="85">
        <v>3101114</v>
      </c>
      <c r="B115" s="85" t="s">
        <v>254</v>
      </c>
      <c r="C115" s="85" t="s">
        <v>17</v>
      </c>
      <c r="D115" s="85" t="s">
        <v>12</v>
      </c>
      <c r="E115" s="85" t="s">
        <v>303</v>
      </c>
      <c r="F115" s="85" t="s">
        <v>24</v>
      </c>
      <c r="G115" s="85" t="s">
        <v>15</v>
      </c>
      <c r="H115" s="86">
        <v>46197</v>
      </c>
      <c r="I115" s="85">
        <v>775000</v>
      </c>
      <c r="J115" s="85">
        <v>5</v>
      </c>
    </row>
    <row r="116" spans="1:10" ht="16" customHeight="1">
      <c r="A116" s="85">
        <v>3101115</v>
      </c>
      <c r="B116" s="85" t="s">
        <v>289</v>
      </c>
      <c r="C116" s="85" t="s">
        <v>258</v>
      </c>
      <c r="D116" s="85" t="s">
        <v>12</v>
      </c>
      <c r="E116" s="85" t="s">
        <v>13</v>
      </c>
      <c r="F116" s="85" t="s">
        <v>24</v>
      </c>
      <c r="G116" s="85" t="s">
        <v>25</v>
      </c>
      <c r="H116" s="86">
        <v>46213</v>
      </c>
      <c r="I116" s="85">
        <v>615000</v>
      </c>
      <c r="J116" s="85">
        <v>2</v>
      </c>
    </row>
    <row r="117" spans="1:10" ht="16" customHeight="1">
      <c r="A117" s="85">
        <v>3101116</v>
      </c>
      <c r="B117" s="85" t="s">
        <v>257</v>
      </c>
      <c r="C117" s="85" t="s">
        <v>258</v>
      </c>
      <c r="D117" s="85" t="s">
        <v>12</v>
      </c>
      <c r="E117" s="85" t="s">
        <v>13</v>
      </c>
      <c r="F117" s="85" t="s">
        <v>20</v>
      </c>
      <c r="G117" s="85" t="s">
        <v>21</v>
      </c>
      <c r="H117" s="86">
        <v>46214</v>
      </c>
      <c r="I117" s="85">
        <v>535000</v>
      </c>
      <c r="J117" s="85">
        <v>2</v>
      </c>
    </row>
    <row r="118" spans="1:10" ht="16" customHeight="1">
      <c r="A118" s="85">
        <v>3101117</v>
      </c>
      <c r="B118" s="85" t="s">
        <v>262</v>
      </c>
      <c r="C118" s="85" t="s">
        <v>17</v>
      </c>
      <c r="D118" s="85" t="s">
        <v>12</v>
      </c>
      <c r="E118" s="85" t="s">
        <v>36</v>
      </c>
      <c r="F118" s="85" t="s">
        <v>24</v>
      </c>
      <c r="G118" s="85" t="s">
        <v>256</v>
      </c>
      <c r="H118" s="86">
        <v>46261</v>
      </c>
      <c r="I118" s="85">
        <v>885000</v>
      </c>
      <c r="J118" s="85">
        <v>3</v>
      </c>
    </row>
    <row r="119" spans="1:10" ht="16" customHeight="1">
      <c r="A119" s="85">
        <v>3101118</v>
      </c>
      <c r="B119" s="85" t="s">
        <v>294</v>
      </c>
      <c r="C119" s="85" t="s">
        <v>264</v>
      </c>
      <c r="D119" s="85" t="s">
        <v>12</v>
      </c>
      <c r="E119" s="85" t="s">
        <v>261</v>
      </c>
      <c r="F119" s="85" t="s">
        <v>14</v>
      </c>
      <c r="G119" s="85" t="s">
        <v>21</v>
      </c>
      <c r="H119" s="86">
        <v>46233</v>
      </c>
      <c r="I119" s="85">
        <v>680000</v>
      </c>
      <c r="J119" s="85">
        <v>4</v>
      </c>
    </row>
    <row r="120" spans="1:10" ht="16" customHeight="1">
      <c r="A120" s="85">
        <v>3101119</v>
      </c>
      <c r="B120" s="85" t="s">
        <v>100</v>
      </c>
      <c r="C120" s="85" t="s">
        <v>260</v>
      </c>
      <c r="D120" s="85" t="s">
        <v>12</v>
      </c>
      <c r="E120" s="85" t="s">
        <v>261</v>
      </c>
      <c r="F120" s="85" t="s">
        <v>14</v>
      </c>
      <c r="G120" s="85" t="s">
        <v>15</v>
      </c>
      <c r="H120" s="86">
        <v>46155</v>
      </c>
      <c r="I120" s="85">
        <v>585000</v>
      </c>
      <c r="J120" s="85">
        <v>0</v>
      </c>
    </row>
    <row r="121" spans="1:10" ht="16" customHeight="1">
      <c r="A121" s="85">
        <v>3101120</v>
      </c>
      <c r="B121" s="85" t="s">
        <v>296</v>
      </c>
      <c r="C121" s="85" t="s">
        <v>17</v>
      </c>
      <c r="D121" s="85" t="s">
        <v>28</v>
      </c>
      <c r="E121" s="85" t="s">
        <v>29</v>
      </c>
      <c r="F121" s="85" t="s">
        <v>20</v>
      </c>
      <c r="G121" s="85" t="s">
        <v>25</v>
      </c>
      <c r="H121" s="86">
        <v>46283</v>
      </c>
      <c r="I121" s="85">
        <v>345000</v>
      </c>
      <c r="J121" s="85">
        <v>0</v>
      </c>
    </row>
    <row r="122" spans="1:10" ht="16" customHeight="1">
      <c r="A122" s="85">
        <v>3101121</v>
      </c>
      <c r="B122" s="85" t="s">
        <v>252</v>
      </c>
      <c r="C122" s="85" t="s">
        <v>27</v>
      </c>
      <c r="D122" s="85" t="s">
        <v>12</v>
      </c>
      <c r="E122" s="85" t="s">
        <v>13</v>
      </c>
      <c r="F122" s="85" t="s">
        <v>14</v>
      </c>
      <c r="G122" s="85" t="s">
        <v>21</v>
      </c>
      <c r="H122" s="86">
        <v>46188</v>
      </c>
      <c r="I122" s="85">
        <v>460000</v>
      </c>
      <c r="J122" s="85">
        <v>4</v>
      </c>
    </row>
    <row r="123" spans="1:10" ht="16" customHeight="1">
      <c r="A123" s="85">
        <v>3101122</v>
      </c>
      <c r="B123" s="85" t="s">
        <v>285</v>
      </c>
      <c r="C123" s="85" t="s">
        <v>11</v>
      </c>
      <c r="D123" s="85" t="s">
        <v>32</v>
      </c>
      <c r="E123" s="85" t="s">
        <v>300</v>
      </c>
      <c r="F123" s="85" t="s">
        <v>14</v>
      </c>
      <c r="G123" s="85" t="s">
        <v>25</v>
      </c>
      <c r="H123" s="86">
        <v>46278</v>
      </c>
      <c r="I123" s="85">
        <v>395000</v>
      </c>
      <c r="J123" s="85">
        <v>0</v>
      </c>
    </row>
    <row r="124" spans="1:10" ht="16" customHeight="1">
      <c r="A124" s="85">
        <v>3101123</v>
      </c>
      <c r="B124" s="85" t="s">
        <v>270</v>
      </c>
      <c r="C124" s="85" t="s">
        <v>27</v>
      </c>
      <c r="D124" s="85" t="s">
        <v>12</v>
      </c>
      <c r="E124" s="85" t="s">
        <v>261</v>
      </c>
      <c r="F124" s="85" t="s">
        <v>20</v>
      </c>
      <c r="G124" s="85" t="s">
        <v>21</v>
      </c>
      <c r="H124" s="86">
        <v>46264</v>
      </c>
      <c r="I124" s="85">
        <v>495000</v>
      </c>
      <c r="J124" s="85">
        <v>5</v>
      </c>
    </row>
    <row r="125" spans="1:10" ht="16" customHeight="1">
      <c r="A125" s="85">
        <v>3101124</v>
      </c>
      <c r="B125" s="85" t="s">
        <v>26</v>
      </c>
      <c r="C125" s="85" t="s">
        <v>38</v>
      </c>
      <c r="D125" s="85" t="s">
        <v>18</v>
      </c>
      <c r="E125" s="85" t="s">
        <v>19</v>
      </c>
      <c r="F125" s="85" t="s">
        <v>34</v>
      </c>
      <c r="G125" s="85" t="s">
        <v>21</v>
      </c>
      <c r="H125" s="86">
        <v>46270</v>
      </c>
      <c r="I125" s="85">
        <v>490000</v>
      </c>
      <c r="J125" s="85">
        <v>1</v>
      </c>
    </row>
    <row r="126" spans="1:10" ht="16" customHeight="1">
      <c r="A126" s="85">
        <v>3101125</v>
      </c>
      <c r="B126" s="85" t="s">
        <v>276</v>
      </c>
      <c r="C126" s="85" t="s">
        <v>268</v>
      </c>
      <c r="D126" s="85" t="s">
        <v>12</v>
      </c>
      <c r="E126" s="85" t="s">
        <v>265</v>
      </c>
      <c r="F126" s="85" t="s">
        <v>14</v>
      </c>
      <c r="G126" s="85" t="s">
        <v>25</v>
      </c>
      <c r="H126" s="86">
        <v>46242</v>
      </c>
      <c r="I126" s="85">
        <v>735000</v>
      </c>
      <c r="J126" s="85">
        <v>3</v>
      </c>
    </row>
    <row r="127" spans="1:10" ht="16" customHeight="1">
      <c r="A127" s="85">
        <v>3101126</v>
      </c>
      <c r="B127" s="85" t="s">
        <v>285</v>
      </c>
      <c r="C127" s="85" t="s">
        <v>268</v>
      </c>
      <c r="D127" s="85" t="s">
        <v>12</v>
      </c>
      <c r="E127" s="85" t="s">
        <v>265</v>
      </c>
      <c r="F127" s="85" t="s">
        <v>20</v>
      </c>
      <c r="G127" s="85" t="s">
        <v>25</v>
      </c>
      <c r="H127" s="86">
        <v>46280</v>
      </c>
      <c r="I127" s="85">
        <v>485000</v>
      </c>
      <c r="J127" s="85">
        <v>3</v>
      </c>
    </row>
    <row r="128" spans="1:10" ht="16" customHeight="1">
      <c r="A128" s="85">
        <v>3101127</v>
      </c>
      <c r="B128" s="85" t="s">
        <v>263</v>
      </c>
      <c r="C128" s="85" t="s">
        <v>38</v>
      </c>
      <c r="D128" s="85" t="s">
        <v>18</v>
      </c>
      <c r="E128" s="85" t="s">
        <v>19</v>
      </c>
      <c r="F128" s="85" t="s">
        <v>34</v>
      </c>
      <c r="G128" s="85" t="s">
        <v>21</v>
      </c>
      <c r="H128" s="86">
        <v>46255</v>
      </c>
      <c r="I128" s="85">
        <v>485000</v>
      </c>
      <c r="J128" s="85">
        <v>5</v>
      </c>
    </row>
    <row r="129" spans="1:10" ht="16" customHeight="1">
      <c r="A129" s="85">
        <v>3101128</v>
      </c>
      <c r="B129" s="85" t="s">
        <v>277</v>
      </c>
      <c r="C129" s="85" t="s">
        <v>264</v>
      </c>
      <c r="D129" s="85" t="s">
        <v>18</v>
      </c>
      <c r="E129" s="85" t="s">
        <v>39</v>
      </c>
      <c r="F129" s="85" t="s">
        <v>24</v>
      </c>
      <c r="G129" s="85" t="s">
        <v>256</v>
      </c>
      <c r="H129" s="86">
        <v>46176</v>
      </c>
      <c r="I129" s="85">
        <v>435000</v>
      </c>
      <c r="J129" s="85">
        <v>4</v>
      </c>
    </row>
    <row r="130" spans="1:10" ht="16" customHeight="1">
      <c r="A130" s="85">
        <v>3101129</v>
      </c>
      <c r="B130" s="85" t="s">
        <v>255</v>
      </c>
      <c r="C130" s="85" t="s">
        <v>17</v>
      </c>
      <c r="D130" s="85" t="s">
        <v>18</v>
      </c>
      <c r="E130" s="85" t="s">
        <v>19</v>
      </c>
      <c r="F130" s="85" t="s">
        <v>24</v>
      </c>
      <c r="G130" s="85" t="s">
        <v>21</v>
      </c>
      <c r="H130" s="86">
        <v>46173</v>
      </c>
      <c r="I130" s="85">
        <v>430000</v>
      </c>
      <c r="J130" s="85">
        <v>0</v>
      </c>
    </row>
    <row r="131" spans="1:10" ht="16" customHeight="1">
      <c r="A131" s="85">
        <v>3101130</v>
      </c>
      <c r="B131" s="85" t="s">
        <v>26</v>
      </c>
      <c r="C131" s="85" t="s">
        <v>11</v>
      </c>
      <c r="D131" s="85" t="s">
        <v>12</v>
      </c>
      <c r="E131" s="85" t="s">
        <v>265</v>
      </c>
      <c r="F131" s="85" t="s">
        <v>24</v>
      </c>
      <c r="G131" s="85" t="s">
        <v>15</v>
      </c>
      <c r="H131" s="86">
        <v>46188</v>
      </c>
      <c r="I131" s="85">
        <v>570000</v>
      </c>
      <c r="J131" s="85">
        <v>4</v>
      </c>
    </row>
    <row r="132" spans="1:10" ht="16" customHeight="1">
      <c r="A132" s="85">
        <v>3101131</v>
      </c>
      <c r="B132" s="85" t="s">
        <v>253</v>
      </c>
      <c r="C132" s="85" t="s">
        <v>17</v>
      </c>
      <c r="D132" s="85" t="s">
        <v>12</v>
      </c>
      <c r="E132" s="85" t="s">
        <v>261</v>
      </c>
      <c r="F132" s="85" t="s">
        <v>24</v>
      </c>
      <c r="G132" s="85" t="s">
        <v>256</v>
      </c>
      <c r="H132" s="86">
        <v>46154</v>
      </c>
      <c r="I132" s="85">
        <v>645000</v>
      </c>
      <c r="J132" s="85">
        <v>1</v>
      </c>
    </row>
    <row r="133" spans="1:10" ht="16" customHeight="1">
      <c r="A133" s="85">
        <v>3101132</v>
      </c>
      <c r="B133" s="85" t="s">
        <v>254</v>
      </c>
      <c r="C133" s="85" t="s">
        <v>268</v>
      </c>
      <c r="D133" s="85" t="s">
        <v>18</v>
      </c>
      <c r="E133" s="85" t="s">
        <v>19</v>
      </c>
      <c r="F133" s="85" t="s">
        <v>14</v>
      </c>
      <c r="G133" s="85" t="s">
        <v>21</v>
      </c>
      <c r="H133" s="86">
        <v>46264</v>
      </c>
      <c r="I133" s="85">
        <v>500000</v>
      </c>
      <c r="J133" s="85">
        <v>4</v>
      </c>
    </row>
    <row r="134" spans="1:10" ht="16" customHeight="1">
      <c r="A134" s="85">
        <v>3101133</v>
      </c>
      <c r="B134" s="85" t="s">
        <v>274</v>
      </c>
      <c r="C134" s="85" t="s">
        <v>38</v>
      </c>
      <c r="D134" s="85" t="s">
        <v>32</v>
      </c>
      <c r="E134" s="85" t="s">
        <v>33</v>
      </c>
      <c r="F134" s="85" t="s">
        <v>20</v>
      </c>
      <c r="G134" s="85" t="s">
        <v>15</v>
      </c>
      <c r="H134" s="86">
        <v>46168</v>
      </c>
      <c r="I134" s="85">
        <v>300000</v>
      </c>
      <c r="J134" s="85">
        <v>1</v>
      </c>
    </row>
    <row r="135" spans="1:10" ht="16" customHeight="1">
      <c r="A135" s="85">
        <v>3101134</v>
      </c>
      <c r="B135" s="85" t="s">
        <v>271</v>
      </c>
      <c r="C135" s="85" t="s">
        <v>38</v>
      </c>
      <c r="D135" s="85" t="s">
        <v>12</v>
      </c>
      <c r="E135" s="85" t="s">
        <v>13</v>
      </c>
      <c r="F135" s="85" t="s">
        <v>34</v>
      </c>
      <c r="G135" s="85" t="s">
        <v>25</v>
      </c>
      <c r="H135" s="86">
        <v>46156</v>
      </c>
      <c r="I135" s="85">
        <v>460000</v>
      </c>
      <c r="J135" s="85">
        <v>3</v>
      </c>
    </row>
    <row r="136" spans="1:10" ht="16" customHeight="1">
      <c r="A136" s="85">
        <v>3101135</v>
      </c>
      <c r="B136" s="85" t="s">
        <v>284</v>
      </c>
      <c r="C136" s="85" t="s">
        <v>27</v>
      </c>
      <c r="D136" s="85" t="s">
        <v>18</v>
      </c>
      <c r="E136" s="85" t="s">
        <v>19</v>
      </c>
      <c r="F136" s="85" t="s">
        <v>24</v>
      </c>
      <c r="G136" s="85" t="s">
        <v>21</v>
      </c>
      <c r="H136" s="86">
        <v>46158</v>
      </c>
      <c r="I136" s="85">
        <v>410000</v>
      </c>
      <c r="J136" s="85">
        <v>4</v>
      </c>
    </row>
    <row r="137" spans="1:10" ht="16" customHeight="1">
      <c r="A137" s="85">
        <v>3101136</v>
      </c>
      <c r="B137" s="85" t="s">
        <v>272</v>
      </c>
      <c r="C137" s="85" t="s">
        <v>258</v>
      </c>
      <c r="D137" s="85" t="s">
        <v>28</v>
      </c>
      <c r="E137" s="85" t="s">
        <v>297</v>
      </c>
      <c r="F137" s="85" t="s">
        <v>14</v>
      </c>
      <c r="G137" s="85" t="s">
        <v>21</v>
      </c>
      <c r="H137" s="86">
        <v>46148</v>
      </c>
      <c r="I137" s="85">
        <v>500000</v>
      </c>
      <c r="J137" s="85">
        <v>3</v>
      </c>
    </row>
    <row r="138" spans="1:10" ht="16" customHeight="1">
      <c r="A138" s="85">
        <v>3101137</v>
      </c>
      <c r="B138" s="85" t="s">
        <v>281</v>
      </c>
      <c r="C138" s="85" t="s">
        <v>268</v>
      </c>
      <c r="D138" s="85" t="s">
        <v>32</v>
      </c>
      <c r="E138" s="85" t="s">
        <v>33</v>
      </c>
      <c r="F138" s="85" t="s">
        <v>24</v>
      </c>
      <c r="G138" s="85" t="s">
        <v>15</v>
      </c>
      <c r="H138" s="86">
        <v>46187</v>
      </c>
      <c r="I138" s="85">
        <v>340000</v>
      </c>
      <c r="J138" s="85">
        <v>4</v>
      </c>
    </row>
    <row r="139" spans="1:10" ht="16" customHeight="1">
      <c r="A139" s="85">
        <v>3101138</v>
      </c>
      <c r="B139" s="85" t="s">
        <v>282</v>
      </c>
      <c r="C139" s="85" t="s">
        <v>258</v>
      </c>
      <c r="D139" s="85" t="s">
        <v>12</v>
      </c>
      <c r="E139" s="85" t="s">
        <v>261</v>
      </c>
      <c r="F139" s="85" t="s">
        <v>24</v>
      </c>
      <c r="G139" s="85" t="s">
        <v>21</v>
      </c>
      <c r="H139" s="86">
        <v>46149</v>
      </c>
      <c r="I139" s="85">
        <v>440000</v>
      </c>
      <c r="J139" s="85">
        <v>2</v>
      </c>
    </row>
    <row r="140" spans="1:10" ht="16" customHeight="1">
      <c r="A140" s="85">
        <v>3101139</v>
      </c>
      <c r="B140" s="85" t="s">
        <v>275</v>
      </c>
      <c r="C140" s="85" t="s">
        <v>38</v>
      </c>
      <c r="D140" s="85" t="s">
        <v>28</v>
      </c>
      <c r="E140" s="85" t="s">
        <v>297</v>
      </c>
      <c r="F140" s="85" t="s">
        <v>24</v>
      </c>
      <c r="G140" s="85" t="s">
        <v>25</v>
      </c>
      <c r="H140" s="86">
        <v>46227</v>
      </c>
      <c r="I140" s="85">
        <v>535000</v>
      </c>
      <c r="J140" s="85">
        <v>1</v>
      </c>
    </row>
    <row r="141" spans="1:10" ht="16" customHeight="1">
      <c r="A141" s="85">
        <v>3101140</v>
      </c>
      <c r="B141" s="85" t="s">
        <v>254</v>
      </c>
      <c r="C141" s="85" t="s">
        <v>27</v>
      </c>
      <c r="D141" s="85" t="s">
        <v>12</v>
      </c>
      <c r="E141" s="85" t="s">
        <v>13</v>
      </c>
      <c r="F141" s="85" t="s">
        <v>20</v>
      </c>
      <c r="G141" s="85" t="s">
        <v>15</v>
      </c>
      <c r="H141" s="86">
        <v>46272</v>
      </c>
      <c r="I141" s="85">
        <v>510000</v>
      </c>
      <c r="J141" s="85">
        <v>5</v>
      </c>
    </row>
    <row r="142" spans="1:10" ht="16" customHeight="1">
      <c r="A142" s="85">
        <v>3101141</v>
      </c>
      <c r="B142" s="85" t="s">
        <v>282</v>
      </c>
      <c r="C142" s="85" t="s">
        <v>264</v>
      </c>
      <c r="D142" s="85" t="s">
        <v>12</v>
      </c>
      <c r="E142" s="85" t="s">
        <v>23</v>
      </c>
      <c r="F142" s="85" t="s">
        <v>14</v>
      </c>
      <c r="G142" s="85" t="s">
        <v>25</v>
      </c>
      <c r="H142" s="86">
        <v>46205</v>
      </c>
      <c r="I142" s="85">
        <v>660000</v>
      </c>
      <c r="J142" s="85">
        <v>0</v>
      </c>
    </row>
    <row r="143" spans="1:10" ht="16" customHeight="1">
      <c r="A143" s="85">
        <v>3101142</v>
      </c>
      <c r="B143" s="85" t="s">
        <v>293</v>
      </c>
      <c r="C143" s="85" t="s">
        <v>260</v>
      </c>
      <c r="D143" s="85" t="s">
        <v>18</v>
      </c>
      <c r="E143" s="85" t="s">
        <v>39</v>
      </c>
      <c r="F143" s="85" t="s">
        <v>24</v>
      </c>
      <c r="G143" s="85" t="s">
        <v>21</v>
      </c>
      <c r="H143" s="86">
        <v>46281</v>
      </c>
      <c r="I143" s="85">
        <v>325000</v>
      </c>
      <c r="J143" s="85">
        <v>0</v>
      </c>
    </row>
    <row r="144" spans="1:10" ht="16" customHeight="1">
      <c r="A144" s="85">
        <v>3101143</v>
      </c>
      <c r="B144" s="85" t="s">
        <v>282</v>
      </c>
      <c r="C144" s="85" t="s">
        <v>27</v>
      </c>
      <c r="D144" s="85" t="s">
        <v>32</v>
      </c>
      <c r="E144" s="85" t="s">
        <v>300</v>
      </c>
      <c r="F144" s="85" t="s">
        <v>20</v>
      </c>
      <c r="G144" s="85" t="s">
        <v>25</v>
      </c>
      <c r="H144" s="86">
        <v>46207</v>
      </c>
      <c r="I144" s="85">
        <v>355000</v>
      </c>
      <c r="J144" s="85">
        <v>5</v>
      </c>
    </row>
    <row r="145" spans="1:10" ht="16" customHeight="1">
      <c r="A145" s="85">
        <v>3101144</v>
      </c>
      <c r="B145" s="85" t="s">
        <v>169</v>
      </c>
      <c r="C145" s="85" t="s">
        <v>268</v>
      </c>
      <c r="D145" s="85" t="s">
        <v>12</v>
      </c>
      <c r="E145" s="85" t="s">
        <v>23</v>
      </c>
      <c r="F145" s="85" t="s">
        <v>14</v>
      </c>
      <c r="G145" s="85" t="s">
        <v>15</v>
      </c>
      <c r="H145" s="86">
        <v>46280</v>
      </c>
      <c r="I145" s="85">
        <v>510000</v>
      </c>
      <c r="J145" s="85">
        <v>2</v>
      </c>
    </row>
    <row r="146" spans="1:10" ht="16" customHeight="1">
      <c r="A146" s="85">
        <v>3101145</v>
      </c>
      <c r="B146" s="85" t="s">
        <v>307</v>
      </c>
      <c r="C146" s="85" t="s">
        <v>260</v>
      </c>
      <c r="D146" s="85" t="s">
        <v>12</v>
      </c>
      <c r="E146" s="85" t="s">
        <v>13</v>
      </c>
      <c r="F146" s="85" t="s">
        <v>20</v>
      </c>
      <c r="G146" s="85" t="s">
        <v>25</v>
      </c>
      <c r="H146" s="86">
        <v>46183</v>
      </c>
      <c r="I146" s="85">
        <v>580000</v>
      </c>
      <c r="J146" s="85">
        <v>3</v>
      </c>
    </row>
    <row r="147" spans="1:10" ht="16" customHeight="1">
      <c r="A147" s="85">
        <v>3101146</v>
      </c>
      <c r="B147" s="85" t="s">
        <v>280</v>
      </c>
      <c r="C147" s="85" t="s">
        <v>268</v>
      </c>
      <c r="D147" s="85" t="s">
        <v>18</v>
      </c>
      <c r="E147" s="85" t="s">
        <v>39</v>
      </c>
      <c r="F147" s="85" t="s">
        <v>14</v>
      </c>
      <c r="G147" s="85" t="s">
        <v>15</v>
      </c>
      <c r="H147" s="86">
        <v>46228</v>
      </c>
      <c r="I147" s="85">
        <v>340000</v>
      </c>
      <c r="J147" s="85">
        <v>3</v>
      </c>
    </row>
    <row r="148" spans="1:10" ht="16" customHeight="1">
      <c r="A148" s="85">
        <v>3101147</v>
      </c>
      <c r="B148" s="85" t="s">
        <v>309</v>
      </c>
      <c r="C148" s="85" t="s">
        <v>260</v>
      </c>
      <c r="D148" s="85" t="s">
        <v>28</v>
      </c>
      <c r="E148" s="85" t="s">
        <v>297</v>
      </c>
      <c r="F148" s="85" t="s">
        <v>20</v>
      </c>
      <c r="G148" s="85" t="s">
        <v>25</v>
      </c>
      <c r="H148" s="86">
        <v>46221</v>
      </c>
      <c r="I148" s="85">
        <v>520000</v>
      </c>
      <c r="J148" s="85">
        <v>2</v>
      </c>
    </row>
    <row r="149" spans="1:10" ht="16" customHeight="1">
      <c r="A149" s="85">
        <v>3101148</v>
      </c>
      <c r="B149" s="85" t="s">
        <v>307</v>
      </c>
      <c r="C149" s="85" t="s">
        <v>268</v>
      </c>
      <c r="D149" s="85" t="s">
        <v>12</v>
      </c>
      <c r="E149" s="85" t="s">
        <v>261</v>
      </c>
      <c r="F149" s="85" t="s">
        <v>34</v>
      </c>
      <c r="G149" s="85" t="s">
        <v>256</v>
      </c>
      <c r="H149" s="86">
        <v>46171</v>
      </c>
      <c r="I149" s="85">
        <v>595000</v>
      </c>
      <c r="J149" s="85">
        <v>4</v>
      </c>
    </row>
    <row r="150" spans="1:10" ht="16" customHeight="1">
      <c r="A150" s="85">
        <v>3101149</v>
      </c>
      <c r="B150" s="85" t="s">
        <v>277</v>
      </c>
      <c r="C150" s="85" t="s">
        <v>38</v>
      </c>
      <c r="D150" s="85" t="s">
        <v>12</v>
      </c>
      <c r="E150" s="85" t="s">
        <v>265</v>
      </c>
      <c r="F150" s="85" t="s">
        <v>34</v>
      </c>
      <c r="G150" s="85" t="s">
        <v>25</v>
      </c>
      <c r="H150" s="86">
        <v>46248</v>
      </c>
      <c r="I150" s="85">
        <v>605000</v>
      </c>
      <c r="J150" s="85">
        <v>1</v>
      </c>
    </row>
    <row r="151" spans="1:10" ht="16" customHeight="1">
      <c r="A151" s="85">
        <v>3101150</v>
      </c>
      <c r="B151" s="85" t="s">
        <v>45</v>
      </c>
      <c r="C151" s="85" t="s">
        <v>17</v>
      </c>
      <c r="D151" s="85" t="s">
        <v>12</v>
      </c>
      <c r="E151" s="85" t="s">
        <v>265</v>
      </c>
      <c r="F151" s="85" t="s">
        <v>20</v>
      </c>
      <c r="G151" s="85" t="s">
        <v>15</v>
      </c>
      <c r="H151" s="86">
        <v>46230</v>
      </c>
      <c r="I151" s="85">
        <v>740000</v>
      </c>
      <c r="J151" s="85">
        <v>5</v>
      </c>
    </row>
    <row r="152" spans="1:10" ht="16" customHeight="1">
      <c r="A152" s="85">
        <v>3101151</v>
      </c>
      <c r="B152" s="85" t="s">
        <v>310</v>
      </c>
      <c r="C152" s="85" t="s">
        <v>38</v>
      </c>
      <c r="D152" s="85" t="s">
        <v>18</v>
      </c>
      <c r="E152" s="85" t="s">
        <v>39</v>
      </c>
      <c r="F152" s="85" t="s">
        <v>34</v>
      </c>
      <c r="G152" s="85" t="s">
        <v>256</v>
      </c>
      <c r="H152" s="86">
        <v>46282</v>
      </c>
      <c r="I152" s="85">
        <v>540000</v>
      </c>
      <c r="J152" s="85">
        <v>3</v>
      </c>
    </row>
    <row r="153" spans="1:10" ht="16" customHeight="1">
      <c r="A153" s="85">
        <v>3101152</v>
      </c>
      <c r="B153" s="85" t="s">
        <v>287</v>
      </c>
      <c r="C153" s="85" t="s">
        <v>264</v>
      </c>
      <c r="D153" s="85" t="s">
        <v>28</v>
      </c>
      <c r="E153" s="85" t="s">
        <v>297</v>
      </c>
      <c r="F153" s="85" t="s">
        <v>24</v>
      </c>
      <c r="G153" s="85" t="s">
        <v>15</v>
      </c>
      <c r="H153" s="86">
        <v>46222</v>
      </c>
      <c r="I153" s="85">
        <v>615000</v>
      </c>
      <c r="J153" s="85">
        <v>0</v>
      </c>
    </row>
    <row r="154" spans="1:10" ht="16" customHeight="1">
      <c r="A154" s="85">
        <v>3101153</v>
      </c>
      <c r="B154" s="85" t="s">
        <v>48</v>
      </c>
      <c r="C154" s="85" t="s">
        <v>260</v>
      </c>
      <c r="D154" s="85" t="s">
        <v>12</v>
      </c>
      <c r="E154" s="85" t="s">
        <v>36</v>
      </c>
      <c r="F154" s="85" t="s">
        <v>20</v>
      </c>
      <c r="G154" s="85" t="s">
        <v>25</v>
      </c>
      <c r="H154" s="86">
        <v>46177</v>
      </c>
      <c r="I154" s="85">
        <v>740000</v>
      </c>
      <c r="J154" s="85">
        <v>3</v>
      </c>
    </row>
    <row r="155" spans="1:10" ht="16" customHeight="1">
      <c r="A155" s="85">
        <v>3101154</v>
      </c>
      <c r="B155" s="85" t="s">
        <v>312</v>
      </c>
      <c r="C155" s="85" t="s">
        <v>11</v>
      </c>
      <c r="D155" s="85" t="s">
        <v>18</v>
      </c>
      <c r="E155" s="85" t="s">
        <v>39</v>
      </c>
      <c r="F155" s="85" t="s">
        <v>34</v>
      </c>
      <c r="G155" s="85" t="s">
        <v>25</v>
      </c>
      <c r="H155" s="86">
        <v>46276</v>
      </c>
      <c r="I155" s="85">
        <v>495000</v>
      </c>
      <c r="J155" s="85">
        <v>2</v>
      </c>
    </row>
    <row r="156" spans="1:10" ht="16" customHeight="1">
      <c r="A156" s="85">
        <v>3101155</v>
      </c>
      <c r="B156" s="85" t="s">
        <v>267</v>
      </c>
      <c r="C156" s="85" t="s">
        <v>258</v>
      </c>
      <c r="D156" s="85" t="s">
        <v>12</v>
      </c>
      <c r="E156" s="85" t="s">
        <v>265</v>
      </c>
      <c r="F156" s="85" t="s">
        <v>34</v>
      </c>
      <c r="G156" s="85" t="s">
        <v>25</v>
      </c>
      <c r="H156" s="86">
        <v>46274</v>
      </c>
      <c r="I156" s="85">
        <v>620000</v>
      </c>
      <c r="J156" s="85">
        <v>2</v>
      </c>
    </row>
    <row r="157" spans="1:10" ht="16" customHeight="1">
      <c r="A157" s="85">
        <v>3101156</v>
      </c>
      <c r="B157" s="85" t="s">
        <v>309</v>
      </c>
      <c r="C157" s="85" t="s">
        <v>38</v>
      </c>
      <c r="D157" s="85" t="s">
        <v>12</v>
      </c>
      <c r="E157" s="85" t="s">
        <v>13</v>
      </c>
      <c r="F157" s="85" t="s">
        <v>20</v>
      </c>
      <c r="G157" s="85" t="s">
        <v>21</v>
      </c>
      <c r="H157" s="86">
        <v>46244</v>
      </c>
      <c r="I157" s="85">
        <v>495000</v>
      </c>
      <c r="J157" s="85">
        <v>4</v>
      </c>
    </row>
    <row r="158" spans="1:10" ht="16" customHeight="1">
      <c r="A158" s="85">
        <v>3101157</v>
      </c>
      <c r="B158" s="85" t="s">
        <v>293</v>
      </c>
      <c r="C158" s="85" t="s">
        <v>258</v>
      </c>
      <c r="D158" s="85" t="s">
        <v>12</v>
      </c>
      <c r="E158" s="85" t="s">
        <v>303</v>
      </c>
      <c r="F158" s="85" t="s">
        <v>14</v>
      </c>
      <c r="G158" s="85" t="s">
        <v>15</v>
      </c>
      <c r="H158" s="86">
        <v>46200</v>
      </c>
      <c r="I158" s="85">
        <v>810000</v>
      </c>
      <c r="J158" s="85">
        <v>1</v>
      </c>
    </row>
    <row r="159" spans="1:10" ht="16" customHeight="1">
      <c r="A159" s="85">
        <v>3101158</v>
      </c>
      <c r="B159" s="85" t="s">
        <v>310</v>
      </c>
      <c r="C159" s="85" t="s">
        <v>268</v>
      </c>
      <c r="D159" s="85" t="s">
        <v>12</v>
      </c>
      <c r="E159" s="85" t="s">
        <v>36</v>
      </c>
      <c r="F159" s="85" t="s">
        <v>20</v>
      </c>
      <c r="G159" s="85" t="s">
        <v>21</v>
      </c>
      <c r="H159" s="86">
        <v>46240</v>
      </c>
      <c r="I159" s="85">
        <v>845000</v>
      </c>
      <c r="J159" s="85">
        <v>0</v>
      </c>
    </row>
    <row r="160" spans="1:10" ht="16" customHeight="1">
      <c r="A160" s="85">
        <v>3101159</v>
      </c>
      <c r="B160" s="85" t="s">
        <v>305</v>
      </c>
      <c r="C160" s="85" t="s">
        <v>17</v>
      </c>
      <c r="D160" s="85" t="s">
        <v>12</v>
      </c>
      <c r="E160" s="85" t="s">
        <v>23</v>
      </c>
      <c r="F160" s="85" t="s">
        <v>24</v>
      </c>
      <c r="G160" s="85" t="s">
        <v>21</v>
      </c>
      <c r="H160" s="86">
        <v>46262</v>
      </c>
      <c r="I160" s="85">
        <v>640000</v>
      </c>
      <c r="J160" s="85">
        <v>4</v>
      </c>
    </row>
    <row r="161" spans="1:10" ht="16" customHeight="1">
      <c r="A161" s="85">
        <v>3101160</v>
      </c>
      <c r="B161" s="85" t="s">
        <v>100</v>
      </c>
      <c r="C161" s="85" t="s">
        <v>258</v>
      </c>
      <c r="D161" s="85" t="s">
        <v>12</v>
      </c>
      <c r="E161" s="85" t="s">
        <v>265</v>
      </c>
      <c r="F161" s="85" t="s">
        <v>34</v>
      </c>
      <c r="G161" s="85" t="s">
        <v>21</v>
      </c>
      <c r="H161" s="86">
        <v>46145</v>
      </c>
      <c r="I161" s="85">
        <v>440000</v>
      </c>
      <c r="J161" s="85">
        <v>0</v>
      </c>
    </row>
    <row r="162" spans="1:10" ht="16" customHeight="1">
      <c r="A162" s="85">
        <v>3101161</v>
      </c>
      <c r="B162" s="85" t="s">
        <v>282</v>
      </c>
      <c r="C162" s="85" t="s">
        <v>27</v>
      </c>
      <c r="D162" s="85" t="s">
        <v>28</v>
      </c>
      <c r="E162" s="85" t="s">
        <v>297</v>
      </c>
      <c r="F162" s="85" t="s">
        <v>20</v>
      </c>
      <c r="G162" s="85" t="s">
        <v>15</v>
      </c>
      <c r="H162" s="86">
        <v>46172</v>
      </c>
      <c r="I162" s="85">
        <v>635000</v>
      </c>
      <c r="J162" s="85">
        <v>1</v>
      </c>
    </row>
    <row r="163" spans="1:10" ht="16" customHeight="1">
      <c r="A163" s="85">
        <v>3101162</v>
      </c>
      <c r="B163" s="85" t="s">
        <v>295</v>
      </c>
      <c r="C163" s="85" t="s">
        <v>264</v>
      </c>
      <c r="D163" s="85" t="s">
        <v>18</v>
      </c>
      <c r="E163" s="85" t="s">
        <v>39</v>
      </c>
      <c r="F163" s="85" t="s">
        <v>24</v>
      </c>
      <c r="G163" s="85" t="s">
        <v>15</v>
      </c>
      <c r="H163" s="86">
        <v>46233</v>
      </c>
      <c r="I163" s="85">
        <v>365000</v>
      </c>
      <c r="J163" s="85">
        <v>1</v>
      </c>
    </row>
    <row r="164" spans="1:10" ht="16" customHeight="1">
      <c r="A164" s="85">
        <v>3101163</v>
      </c>
      <c r="B164" s="85" t="s">
        <v>302</v>
      </c>
      <c r="C164" s="85" t="s">
        <v>268</v>
      </c>
      <c r="D164" s="85" t="s">
        <v>12</v>
      </c>
      <c r="E164" s="85" t="s">
        <v>23</v>
      </c>
      <c r="F164" s="85" t="s">
        <v>20</v>
      </c>
      <c r="G164" s="85" t="s">
        <v>25</v>
      </c>
      <c r="H164" s="86">
        <v>46178</v>
      </c>
      <c r="I164" s="85">
        <v>430000</v>
      </c>
      <c r="J164" s="85">
        <v>0</v>
      </c>
    </row>
    <row r="165" spans="1:10" ht="16" customHeight="1">
      <c r="A165" s="85">
        <v>3101164</v>
      </c>
      <c r="B165" s="85" t="s">
        <v>301</v>
      </c>
      <c r="C165" s="85" t="s">
        <v>258</v>
      </c>
      <c r="D165" s="85" t="s">
        <v>12</v>
      </c>
      <c r="E165" s="85" t="s">
        <v>23</v>
      </c>
      <c r="F165" s="85" t="s">
        <v>20</v>
      </c>
      <c r="G165" s="85" t="s">
        <v>21</v>
      </c>
      <c r="H165" s="86">
        <v>46259</v>
      </c>
      <c r="I165" s="85">
        <v>640000</v>
      </c>
      <c r="J165" s="85">
        <v>3</v>
      </c>
    </row>
    <row r="166" spans="1:10" ht="16" customHeight="1">
      <c r="A166" s="85">
        <v>3101165</v>
      </c>
      <c r="B166" s="85" t="s">
        <v>100</v>
      </c>
      <c r="C166" s="85" t="s">
        <v>11</v>
      </c>
      <c r="D166" s="85" t="s">
        <v>28</v>
      </c>
      <c r="E166" s="85" t="s">
        <v>29</v>
      </c>
      <c r="F166" s="85" t="s">
        <v>24</v>
      </c>
      <c r="G166" s="85" t="s">
        <v>21</v>
      </c>
      <c r="H166" s="86">
        <v>46162</v>
      </c>
      <c r="I166" s="85">
        <v>470000</v>
      </c>
      <c r="J166" s="85">
        <v>2</v>
      </c>
    </row>
    <row r="167" spans="1:10" ht="16" customHeight="1">
      <c r="A167" s="85">
        <v>3101166</v>
      </c>
      <c r="B167" s="85" t="s">
        <v>293</v>
      </c>
      <c r="C167" s="85" t="s">
        <v>258</v>
      </c>
      <c r="D167" s="85" t="s">
        <v>12</v>
      </c>
      <c r="E167" s="85" t="s">
        <v>23</v>
      </c>
      <c r="F167" s="85" t="s">
        <v>34</v>
      </c>
      <c r="G167" s="85" t="s">
        <v>256</v>
      </c>
      <c r="H167" s="86">
        <v>46147</v>
      </c>
      <c r="I167" s="85">
        <v>615000</v>
      </c>
      <c r="J167" s="85">
        <v>1</v>
      </c>
    </row>
    <row r="168" spans="1:10" ht="16" customHeight="1">
      <c r="A168" s="85">
        <v>3101167</v>
      </c>
      <c r="B168" s="85" t="s">
        <v>287</v>
      </c>
      <c r="C168" s="85" t="s">
        <v>258</v>
      </c>
      <c r="D168" s="85" t="s">
        <v>12</v>
      </c>
      <c r="E168" s="85" t="s">
        <v>23</v>
      </c>
      <c r="F168" s="85" t="s">
        <v>24</v>
      </c>
      <c r="G168" s="85" t="s">
        <v>21</v>
      </c>
      <c r="H168" s="86">
        <v>46164</v>
      </c>
      <c r="I168" s="85">
        <v>470000</v>
      </c>
      <c r="J168" s="85">
        <v>3</v>
      </c>
    </row>
    <row r="169" spans="1:10" ht="16" customHeight="1">
      <c r="A169" s="85">
        <v>3101168</v>
      </c>
      <c r="B169" s="85" t="s">
        <v>287</v>
      </c>
      <c r="C169" s="85" t="s">
        <v>264</v>
      </c>
      <c r="D169" s="85" t="s">
        <v>28</v>
      </c>
      <c r="E169" s="85" t="s">
        <v>29</v>
      </c>
      <c r="F169" s="85" t="s">
        <v>34</v>
      </c>
      <c r="G169" s="85" t="s">
        <v>15</v>
      </c>
      <c r="H169" s="86">
        <v>46279</v>
      </c>
      <c r="I169" s="85">
        <v>465000</v>
      </c>
      <c r="J169" s="85">
        <v>1</v>
      </c>
    </row>
    <row r="170" spans="1:10" ht="16" customHeight="1">
      <c r="A170" s="85">
        <v>3101169</v>
      </c>
      <c r="B170" s="85" t="s">
        <v>306</v>
      </c>
      <c r="C170" s="85" t="s">
        <v>260</v>
      </c>
      <c r="D170" s="85" t="s">
        <v>12</v>
      </c>
      <c r="E170" s="85" t="s">
        <v>13</v>
      </c>
      <c r="F170" s="85" t="s">
        <v>34</v>
      </c>
      <c r="G170" s="85" t="s">
        <v>21</v>
      </c>
      <c r="H170" s="86">
        <v>46219</v>
      </c>
      <c r="I170" s="85">
        <v>615000</v>
      </c>
      <c r="J170" s="85">
        <v>3</v>
      </c>
    </row>
    <row r="171" spans="1:10" ht="16" customHeight="1">
      <c r="A171" s="85">
        <v>3101170</v>
      </c>
      <c r="B171" s="85" t="s">
        <v>287</v>
      </c>
      <c r="C171" s="85" t="s">
        <v>38</v>
      </c>
      <c r="D171" s="85" t="s">
        <v>32</v>
      </c>
      <c r="E171" s="85" t="s">
        <v>300</v>
      </c>
      <c r="F171" s="85" t="s">
        <v>20</v>
      </c>
      <c r="G171" s="85" t="s">
        <v>15</v>
      </c>
      <c r="H171" s="86">
        <v>46277</v>
      </c>
      <c r="I171" s="85">
        <v>430000</v>
      </c>
      <c r="J171" s="85">
        <v>2</v>
      </c>
    </row>
    <row r="172" spans="1:10" ht="16" customHeight="1">
      <c r="A172" s="85">
        <v>3101171</v>
      </c>
      <c r="B172" s="85" t="s">
        <v>287</v>
      </c>
      <c r="C172" s="85" t="s">
        <v>260</v>
      </c>
      <c r="D172" s="85" t="s">
        <v>12</v>
      </c>
      <c r="E172" s="85" t="s">
        <v>23</v>
      </c>
      <c r="F172" s="85" t="s">
        <v>24</v>
      </c>
      <c r="G172" s="85" t="s">
        <v>15</v>
      </c>
      <c r="H172" s="86">
        <v>46195</v>
      </c>
      <c r="I172" s="85">
        <v>635000</v>
      </c>
      <c r="J172" s="85">
        <v>4</v>
      </c>
    </row>
    <row r="173" spans="1:10" ht="16" customHeight="1">
      <c r="A173" s="85">
        <v>3101172</v>
      </c>
      <c r="B173" s="85" t="s">
        <v>252</v>
      </c>
      <c r="C173" s="85" t="s">
        <v>17</v>
      </c>
      <c r="D173" s="85" t="s">
        <v>32</v>
      </c>
      <c r="E173" s="85" t="s">
        <v>33</v>
      </c>
      <c r="F173" s="85" t="s">
        <v>34</v>
      </c>
      <c r="G173" s="85" t="s">
        <v>21</v>
      </c>
      <c r="H173" s="86">
        <v>46253</v>
      </c>
      <c r="I173" s="85">
        <v>425000</v>
      </c>
      <c r="J173" s="85">
        <v>4</v>
      </c>
    </row>
    <row r="174" spans="1:10" ht="16" customHeight="1">
      <c r="A174" s="85">
        <v>3101173</v>
      </c>
      <c r="B174" s="85" t="s">
        <v>313</v>
      </c>
      <c r="C174" s="85" t="s">
        <v>17</v>
      </c>
      <c r="D174" s="85" t="s">
        <v>12</v>
      </c>
      <c r="E174" s="85" t="s">
        <v>303</v>
      </c>
      <c r="F174" s="85" t="s">
        <v>20</v>
      </c>
      <c r="G174" s="85" t="s">
        <v>25</v>
      </c>
      <c r="H174" s="86">
        <v>46260</v>
      </c>
      <c r="I174" s="85">
        <v>705000</v>
      </c>
      <c r="J174" s="85">
        <v>4</v>
      </c>
    </row>
    <row r="175" spans="1:10" ht="16" customHeight="1">
      <c r="A175" s="85">
        <v>3101174</v>
      </c>
      <c r="B175" s="85" t="s">
        <v>313</v>
      </c>
      <c r="C175" s="85" t="s">
        <v>264</v>
      </c>
      <c r="D175" s="85" t="s">
        <v>12</v>
      </c>
      <c r="E175" s="85" t="s">
        <v>13</v>
      </c>
      <c r="F175" s="85" t="s">
        <v>34</v>
      </c>
      <c r="G175" s="85" t="s">
        <v>21</v>
      </c>
      <c r="H175" s="86">
        <v>46234</v>
      </c>
      <c r="I175" s="85">
        <v>630000</v>
      </c>
      <c r="J175" s="85">
        <v>2</v>
      </c>
    </row>
    <row r="176" spans="1:10" ht="16" customHeight="1">
      <c r="A176" s="85">
        <v>3101175</v>
      </c>
      <c r="B176" s="85" t="s">
        <v>298</v>
      </c>
      <c r="C176" s="85" t="s">
        <v>11</v>
      </c>
      <c r="D176" s="85" t="s">
        <v>12</v>
      </c>
      <c r="E176" s="85" t="s">
        <v>303</v>
      </c>
      <c r="F176" s="85" t="s">
        <v>20</v>
      </c>
      <c r="G176" s="85" t="s">
        <v>21</v>
      </c>
      <c r="H176" s="86">
        <v>46150</v>
      </c>
      <c r="I176" s="85">
        <v>685000</v>
      </c>
      <c r="J176" s="85">
        <v>5</v>
      </c>
    </row>
    <row r="177" spans="1:10" ht="16" customHeight="1">
      <c r="A177" s="85">
        <v>3101176</v>
      </c>
      <c r="B177" s="85" t="s">
        <v>294</v>
      </c>
      <c r="C177" s="85" t="s">
        <v>17</v>
      </c>
      <c r="D177" s="85" t="s">
        <v>12</v>
      </c>
      <c r="E177" s="85" t="s">
        <v>303</v>
      </c>
      <c r="F177" s="85" t="s">
        <v>20</v>
      </c>
      <c r="G177" s="85" t="s">
        <v>21</v>
      </c>
      <c r="H177" s="86">
        <v>46221</v>
      </c>
      <c r="I177" s="85">
        <v>660000</v>
      </c>
      <c r="J177" s="85">
        <v>5</v>
      </c>
    </row>
    <row r="178" spans="1:10" ht="16" customHeight="1">
      <c r="A178" s="85">
        <v>3101177</v>
      </c>
      <c r="B178" s="85" t="s">
        <v>280</v>
      </c>
      <c r="C178" s="85" t="s">
        <v>38</v>
      </c>
      <c r="D178" s="85" t="s">
        <v>12</v>
      </c>
      <c r="E178" s="85" t="s">
        <v>265</v>
      </c>
      <c r="F178" s="85" t="s">
        <v>14</v>
      </c>
      <c r="G178" s="85" t="s">
        <v>15</v>
      </c>
      <c r="H178" s="86">
        <v>46190</v>
      </c>
      <c r="I178" s="85">
        <v>630000</v>
      </c>
      <c r="J178" s="85">
        <v>0</v>
      </c>
    </row>
    <row r="179" spans="1:10" ht="16" customHeight="1">
      <c r="A179" s="85">
        <v>3101178</v>
      </c>
      <c r="B179" s="85" t="s">
        <v>299</v>
      </c>
      <c r="C179" s="85" t="s">
        <v>17</v>
      </c>
      <c r="D179" s="85" t="s">
        <v>32</v>
      </c>
      <c r="E179" s="85" t="s">
        <v>33</v>
      </c>
      <c r="F179" s="85" t="s">
        <v>14</v>
      </c>
      <c r="G179" s="85" t="s">
        <v>21</v>
      </c>
      <c r="H179" s="86">
        <v>46172</v>
      </c>
      <c r="I179" s="85">
        <v>350000</v>
      </c>
      <c r="J179" s="85">
        <v>3</v>
      </c>
    </row>
    <row r="180" spans="1:10" ht="16" customHeight="1">
      <c r="A180" s="85">
        <v>3101179</v>
      </c>
      <c r="B180" s="85" t="s">
        <v>254</v>
      </c>
      <c r="C180" s="85" t="s">
        <v>17</v>
      </c>
      <c r="D180" s="85" t="s">
        <v>12</v>
      </c>
      <c r="E180" s="85" t="s">
        <v>23</v>
      </c>
      <c r="F180" s="85" t="s">
        <v>14</v>
      </c>
      <c r="G180" s="85" t="s">
        <v>256</v>
      </c>
      <c r="H180" s="86">
        <v>46244</v>
      </c>
      <c r="I180" s="85">
        <v>505000</v>
      </c>
      <c r="J180" s="85">
        <v>0</v>
      </c>
    </row>
    <row r="181" spans="1:10" ht="16" customHeight="1">
      <c r="A181" s="85">
        <v>3101180</v>
      </c>
      <c r="B181" s="85" t="s">
        <v>302</v>
      </c>
      <c r="C181" s="85" t="s">
        <v>11</v>
      </c>
      <c r="D181" s="85" t="s">
        <v>12</v>
      </c>
      <c r="E181" s="85" t="s">
        <v>261</v>
      </c>
      <c r="F181" s="85" t="s">
        <v>20</v>
      </c>
      <c r="G181" s="85" t="s">
        <v>256</v>
      </c>
      <c r="H181" s="86">
        <v>46287</v>
      </c>
      <c r="I181" s="85">
        <v>685000</v>
      </c>
      <c r="J181" s="85">
        <v>5</v>
      </c>
    </row>
    <row r="182" spans="1:10" ht="16" customHeight="1">
      <c r="A182" s="85">
        <v>3101181</v>
      </c>
      <c r="B182" s="85" t="s">
        <v>302</v>
      </c>
      <c r="C182" s="85" t="s">
        <v>38</v>
      </c>
      <c r="D182" s="85" t="s">
        <v>12</v>
      </c>
      <c r="E182" s="85" t="s">
        <v>13</v>
      </c>
      <c r="F182" s="85" t="s">
        <v>20</v>
      </c>
      <c r="G182" s="85" t="s">
        <v>21</v>
      </c>
      <c r="H182" s="86">
        <v>46213</v>
      </c>
      <c r="I182" s="85">
        <v>550000</v>
      </c>
      <c r="J182" s="85">
        <v>5</v>
      </c>
    </row>
    <row r="183" spans="1:10" ht="16" customHeight="1">
      <c r="A183" s="85">
        <v>3101182</v>
      </c>
      <c r="B183" s="85" t="s">
        <v>45</v>
      </c>
      <c r="C183" s="85" t="s">
        <v>258</v>
      </c>
      <c r="D183" s="85" t="s">
        <v>32</v>
      </c>
      <c r="E183" s="85" t="s">
        <v>300</v>
      </c>
      <c r="F183" s="85" t="s">
        <v>14</v>
      </c>
      <c r="G183" s="85" t="s">
        <v>15</v>
      </c>
      <c r="H183" s="86">
        <v>46291</v>
      </c>
      <c r="I183" s="85">
        <v>410000</v>
      </c>
      <c r="J183" s="85">
        <v>3</v>
      </c>
    </row>
    <row r="184" spans="1:10" ht="16" customHeight="1">
      <c r="A184" s="85">
        <v>3101183</v>
      </c>
      <c r="B184" s="85" t="s">
        <v>298</v>
      </c>
      <c r="C184" s="85" t="s">
        <v>268</v>
      </c>
      <c r="D184" s="85" t="s">
        <v>32</v>
      </c>
      <c r="E184" s="85" t="s">
        <v>33</v>
      </c>
      <c r="F184" s="85" t="s">
        <v>24</v>
      </c>
      <c r="G184" s="85" t="s">
        <v>25</v>
      </c>
      <c r="H184" s="86">
        <v>46218</v>
      </c>
      <c r="I184" s="85">
        <v>320000</v>
      </c>
      <c r="J184" s="85">
        <v>0</v>
      </c>
    </row>
    <row r="185" spans="1:10" ht="16" customHeight="1">
      <c r="A185" s="85">
        <v>3101184</v>
      </c>
      <c r="B185" s="85" t="s">
        <v>311</v>
      </c>
      <c r="C185" s="85" t="s">
        <v>38</v>
      </c>
      <c r="D185" s="85" t="s">
        <v>12</v>
      </c>
      <c r="E185" s="85" t="s">
        <v>261</v>
      </c>
      <c r="F185" s="85" t="s">
        <v>20</v>
      </c>
      <c r="G185" s="85" t="s">
        <v>21</v>
      </c>
      <c r="H185" s="86">
        <v>46183</v>
      </c>
      <c r="I185" s="85">
        <v>520000</v>
      </c>
      <c r="J185" s="85">
        <v>1</v>
      </c>
    </row>
    <row r="186" spans="1:10" ht="16" customHeight="1">
      <c r="A186" s="85">
        <v>3101185</v>
      </c>
      <c r="B186" s="85" t="s">
        <v>169</v>
      </c>
      <c r="C186" s="85" t="s">
        <v>260</v>
      </c>
      <c r="D186" s="85" t="s">
        <v>12</v>
      </c>
      <c r="E186" s="85" t="s">
        <v>13</v>
      </c>
      <c r="F186" s="85" t="s">
        <v>14</v>
      </c>
      <c r="G186" s="85" t="s">
        <v>15</v>
      </c>
      <c r="H186" s="86">
        <v>46243</v>
      </c>
      <c r="I186" s="85">
        <v>495000</v>
      </c>
      <c r="J186" s="85">
        <v>0</v>
      </c>
    </row>
    <row r="187" spans="1:10" ht="16" customHeight="1">
      <c r="A187" s="85">
        <v>3101186</v>
      </c>
      <c r="B187" s="85" t="s">
        <v>310</v>
      </c>
      <c r="C187" s="85" t="s">
        <v>17</v>
      </c>
      <c r="D187" s="85" t="s">
        <v>12</v>
      </c>
      <c r="E187" s="85" t="s">
        <v>13</v>
      </c>
      <c r="F187" s="85" t="s">
        <v>34</v>
      </c>
      <c r="G187" s="85" t="s">
        <v>25</v>
      </c>
      <c r="H187" s="86">
        <v>46168</v>
      </c>
      <c r="I187" s="85">
        <v>555000</v>
      </c>
      <c r="J187" s="85">
        <v>2</v>
      </c>
    </row>
    <row r="188" spans="1:10" ht="16" customHeight="1">
      <c r="A188" s="85">
        <v>3101187</v>
      </c>
      <c r="B188" s="85" t="s">
        <v>47</v>
      </c>
      <c r="C188" s="85" t="s">
        <v>38</v>
      </c>
      <c r="D188" s="85" t="s">
        <v>12</v>
      </c>
      <c r="E188" s="85" t="s">
        <v>303</v>
      </c>
      <c r="F188" s="85" t="s">
        <v>34</v>
      </c>
      <c r="G188" s="85" t="s">
        <v>15</v>
      </c>
      <c r="H188" s="86">
        <v>46282</v>
      </c>
      <c r="I188" s="85">
        <v>570000</v>
      </c>
      <c r="J188" s="85">
        <v>4</v>
      </c>
    </row>
    <row r="189" spans="1:10" ht="16" customHeight="1">
      <c r="A189" s="85">
        <v>3101188</v>
      </c>
      <c r="B189" s="85" t="s">
        <v>284</v>
      </c>
      <c r="C189" s="85" t="s">
        <v>38</v>
      </c>
      <c r="D189" s="85" t="s">
        <v>28</v>
      </c>
      <c r="E189" s="85" t="s">
        <v>297</v>
      </c>
      <c r="F189" s="85" t="s">
        <v>34</v>
      </c>
      <c r="G189" s="85" t="s">
        <v>25</v>
      </c>
      <c r="H189" s="86">
        <v>46180</v>
      </c>
      <c r="I189" s="85">
        <v>425000</v>
      </c>
      <c r="J189" s="85">
        <v>1</v>
      </c>
    </row>
    <row r="190" spans="1:10" ht="16" customHeight="1">
      <c r="A190" s="85">
        <v>3101189</v>
      </c>
      <c r="B190" s="85" t="s">
        <v>289</v>
      </c>
      <c r="C190" s="85" t="s">
        <v>260</v>
      </c>
      <c r="D190" s="85" t="s">
        <v>32</v>
      </c>
      <c r="E190" s="85" t="s">
        <v>33</v>
      </c>
      <c r="F190" s="85" t="s">
        <v>14</v>
      </c>
      <c r="G190" s="85" t="s">
        <v>21</v>
      </c>
      <c r="H190" s="86">
        <v>46295</v>
      </c>
      <c r="I190" s="85">
        <v>430000</v>
      </c>
      <c r="J190" s="85">
        <v>5</v>
      </c>
    </row>
    <row r="191" spans="1:10" ht="16" customHeight="1">
      <c r="A191" s="85">
        <v>3101190</v>
      </c>
      <c r="B191" s="85" t="s">
        <v>257</v>
      </c>
      <c r="C191" s="85" t="s">
        <v>38</v>
      </c>
      <c r="D191" s="85" t="s">
        <v>12</v>
      </c>
      <c r="E191" s="85" t="s">
        <v>265</v>
      </c>
      <c r="F191" s="85" t="s">
        <v>24</v>
      </c>
      <c r="G191" s="85" t="s">
        <v>256</v>
      </c>
      <c r="H191" s="86">
        <v>46266</v>
      </c>
      <c r="I191" s="85">
        <v>780000</v>
      </c>
      <c r="J191" s="85">
        <v>0</v>
      </c>
    </row>
    <row r="192" spans="1:10" ht="16" customHeight="1">
      <c r="A192" s="85">
        <v>3101191</v>
      </c>
      <c r="B192" s="85" t="s">
        <v>262</v>
      </c>
      <c r="C192" s="85" t="s">
        <v>260</v>
      </c>
      <c r="D192" s="85" t="s">
        <v>18</v>
      </c>
      <c r="E192" s="85" t="s">
        <v>19</v>
      </c>
      <c r="F192" s="85" t="s">
        <v>14</v>
      </c>
      <c r="G192" s="85" t="s">
        <v>256</v>
      </c>
      <c r="H192" s="86">
        <v>46233</v>
      </c>
      <c r="I192" s="85">
        <v>385000</v>
      </c>
      <c r="J192" s="85">
        <v>1</v>
      </c>
    </row>
    <row r="193" spans="1:10" ht="16" customHeight="1">
      <c r="A193" s="85">
        <v>3101192</v>
      </c>
      <c r="B193" s="85" t="s">
        <v>304</v>
      </c>
      <c r="C193" s="85" t="s">
        <v>11</v>
      </c>
      <c r="D193" s="85" t="s">
        <v>12</v>
      </c>
      <c r="E193" s="85" t="s">
        <v>261</v>
      </c>
      <c r="F193" s="85" t="s">
        <v>24</v>
      </c>
      <c r="G193" s="85" t="s">
        <v>21</v>
      </c>
      <c r="H193" s="86">
        <v>46245</v>
      </c>
      <c r="I193" s="85">
        <v>450000</v>
      </c>
      <c r="J193" s="85">
        <v>5</v>
      </c>
    </row>
    <row r="194" spans="1:10" ht="16" customHeight="1">
      <c r="A194" s="85">
        <v>3101193</v>
      </c>
      <c r="B194" s="85" t="s">
        <v>174</v>
      </c>
      <c r="C194" s="85" t="s">
        <v>260</v>
      </c>
      <c r="D194" s="85" t="s">
        <v>12</v>
      </c>
      <c r="E194" s="85" t="s">
        <v>23</v>
      </c>
      <c r="F194" s="85" t="s">
        <v>34</v>
      </c>
      <c r="G194" s="85" t="s">
        <v>256</v>
      </c>
      <c r="H194" s="86">
        <v>46251</v>
      </c>
      <c r="I194" s="85">
        <v>725000</v>
      </c>
      <c r="J194" s="85">
        <v>0</v>
      </c>
    </row>
    <row r="195" spans="1:10" ht="16" customHeight="1">
      <c r="A195" s="85">
        <v>3101194</v>
      </c>
      <c r="B195" s="85" t="s">
        <v>252</v>
      </c>
      <c r="C195" s="85" t="s">
        <v>260</v>
      </c>
      <c r="D195" s="85" t="s">
        <v>12</v>
      </c>
      <c r="E195" s="85" t="s">
        <v>261</v>
      </c>
      <c r="F195" s="85" t="s">
        <v>24</v>
      </c>
      <c r="G195" s="85" t="s">
        <v>256</v>
      </c>
      <c r="H195" s="86">
        <v>46157</v>
      </c>
      <c r="I195" s="85">
        <v>510000</v>
      </c>
      <c r="J195" s="85">
        <v>0</v>
      </c>
    </row>
    <row r="196" spans="1:10" ht="16" customHeight="1">
      <c r="A196" s="85">
        <v>3101195</v>
      </c>
      <c r="B196" s="85" t="s">
        <v>311</v>
      </c>
      <c r="C196" s="85" t="s">
        <v>17</v>
      </c>
      <c r="D196" s="85" t="s">
        <v>12</v>
      </c>
      <c r="E196" s="85" t="s">
        <v>265</v>
      </c>
      <c r="F196" s="85" t="s">
        <v>24</v>
      </c>
      <c r="G196" s="85" t="s">
        <v>256</v>
      </c>
      <c r="H196" s="86">
        <v>46147</v>
      </c>
      <c r="I196" s="85">
        <v>600000</v>
      </c>
      <c r="J196" s="85">
        <v>0</v>
      </c>
    </row>
    <row r="197" spans="1:10" ht="16" customHeight="1">
      <c r="A197" s="85">
        <v>3101196</v>
      </c>
      <c r="B197" s="85" t="s">
        <v>48</v>
      </c>
      <c r="C197" s="85" t="s">
        <v>11</v>
      </c>
      <c r="D197" s="85" t="s">
        <v>32</v>
      </c>
      <c r="E197" s="85" t="s">
        <v>33</v>
      </c>
      <c r="F197" s="85" t="s">
        <v>34</v>
      </c>
      <c r="G197" s="85" t="s">
        <v>15</v>
      </c>
      <c r="H197" s="86">
        <v>46272</v>
      </c>
      <c r="I197" s="85">
        <v>410000</v>
      </c>
      <c r="J197" s="85">
        <v>4</v>
      </c>
    </row>
    <row r="198" spans="1:10" ht="16" customHeight="1">
      <c r="A198" s="85">
        <v>3101197</v>
      </c>
      <c r="B198" s="85" t="s">
        <v>270</v>
      </c>
      <c r="C198" s="85" t="s">
        <v>38</v>
      </c>
      <c r="D198" s="85" t="s">
        <v>12</v>
      </c>
      <c r="E198" s="85" t="s">
        <v>13</v>
      </c>
      <c r="F198" s="85" t="s">
        <v>34</v>
      </c>
      <c r="G198" s="85" t="s">
        <v>256</v>
      </c>
      <c r="H198" s="86">
        <v>46292</v>
      </c>
      <c r="I198" s="85">
        <v>535000</v>
      </c>
      <c r="J198" s="85">
        <v>5</v>
      </c>
    </row>
    <row r="199" spans="1:10" ht="16" customHeight="1">
      <c r="A199" s="85">
        <v>3101198</v>
      </c>
      <c r="B199" s="85" t="s">
        <v>295</v>
      </c>
      <c r="C199" s="85" t="s">
        <v>258</v>
      </c>
      <c r="D199" s="85" t="s">
        <v>12</v>
      </c>
      <c r="E199" s="85" t="s">
        <v>13</v>
      </c>
      <c r="F199" s="85" t="s">
        <v>34</v>
      </c>
      <c r="G199" s="85" t="s">
        <v>256</v>
      </c>
      <c r="H199" s="86">
        <v>46196</v>
      </c>
      <c r="I199" s="85">
        <v>460000</v>
      </c>
      <c r="J199" s="85">
        <v>4</v>
      </c>
    </row>
    <row r="200" spans="1:10" ht="16" customHeight="1">
      <c r="A200" s="85">
        <v>3101199</v>
      </c>
      <c r="B200" s="85" t="s">
        <v>46</v>
      </c>
      <c r="C200" s="85" t="s">
        <v>258</v>
      </c>
      <c r="D200" s="85" t="s">
        <v>18</v>
      </c>
      <c r="E200" s="85" t="s">
        <v>19</v>
      </c>
      <c r="F200" s="85" t="s">
        <v>14</v>
      </c>
      <c r="G200" s="85" t="s">
        <v>25</v>
      </c>
      <c r="H200" s="86">
        <v>46150</v>
      </c>
      <c r="I200" s="85">
        <v>445000</v>
      </c>
      <c r="J200" s="85">
        <v>3</v>
      </c>
    </row>
    <row r="201" spans="1:10" ht="16" customHeight="1">
      <c r="A201" s="85">
        <v>3101200</v>
      </c>
      <c r="B201" s="85" t="s">
        <v>294</v>
      </c>
      <c r="C201" s="85" t="s">
        <v>11</v>
      </c>
      <c r="D201" s="85" t="s">
        <v>28</v>
      </c>
      <c r="E201" s="85" t="s">
        <v>297</v>
      </c>
      <c r="F201" s="85" t="s">
        <v>24</v>
      </c>
      <c r="G201" s="85" t="s">
        <v>256</v>
      </c>
      <c r="H201" s="86">
        <v>46266</v>
      </c>
      <c r="I201" s="85">
        <v>415000</v>
      </c>
      <c r="J201" s="85">
        <v>3</v>
      </c>
    </row>
    <row r="202" spans="1:10" ht="16" customHeight="1">
      <c r="A202" s="85">
        <v>3101201</v>
      </c>
      <c r="B202" s="85" t="s">
        <v>288</v>
      </c>
      <c r="C202" s="85" t="s">
        <v>17</v>
      </c>
      <c r="D202" s="85" t="s">
        <v>12</v>
      </c>
      <c r="E202" s="85" t="s">
        <v>261</v>
      </c>
      <c r="F202" s="85" t="s">
        <v>14</v>
      </c>
      <c r="G202" s="85" t="s">
        <v>21</v>
      </c>
      <c r="H202" s="86">
        <v>46202</v>
      </c>
      <c r="I202" s="85">
        <v>485000</v>
      </c>
      <c r="J202" s="85">
        <v>5</v>
      </c>
    </row>
    <row r="203" spans="1:10" ht="16" customHeight="1">
      <c r="A203" s="85">
        <v>3101202</v>
      </c>
      <c r="B203" s="85" t="s">
        <v>271</v>
      </c>
      <c r="C203" s="85" t="s">
        <v>38</v>
      </c>
      <c r="D203" s="85" t="s">
        <v>28</v>
      </c>
      <c r="E203" s="85" t="s">
        <v>297</v>
      </c>
      <c r="F203" s="85" t="s">
        <v>14</v>
      </c>
      <c r="G203" s="85" t="s">
        <v>15</v>
      </c>
      <c r="H203" s="86">
        <v>46280</v>
      </c>
      <c r="I203" s="85">
        <v>490000</v>
      </c>
      <c r="J203" s="85">
        <v>3</v>
      </c>
    </row>
    <row r="204" spans="1:10" ht="16" customHeight="1">
      <c r="A204" s="85">
        <v>3101203</v>
      </c>
      <c r="B204" s="85" t="s">
        <v>44</v>
      </c>
      <c r="C204" s="85" t="s">
        <v>258</v>
      </c>
      <c r="D204" s="85" t="s">
        <v>32</v>
      </c>
      <c r="E204" s="85" t="s">
        <v>33</v>
      </c>
      <c r="F204" s="85" t="s">
        <v>24</v>
      </c>
      <c r="G204" s="85" t="s">
        <v>256</v>
      </c>
      <c r="H204" s="86">
        <v>46222</v>
      </c>
      <c r="I204" s="85">
        <v>375000</v>
      </c>
      <c r="J204" s="85">
        <v>1</v>
      </c>
    </row>
    <row r="205" spans="1:10" ht="16" customHeight="1">
      <c r="A205" s="85">
        <v>3101204</v>
      </c>
      <c r="B205" s="85" t="s">
        <v>311</v>
      </c>
      <c r="C205" s="85" t="s">
        <v>260</v>
      </c>
      <c r="D205" s="85" t="s">
        <v>28</v>
      </c>
      <c r="E205" s="85" t="s">
        <v>29</v>
      </c>
      <c r="F205" s="85" t="s">
        <v>20</v>
      </c>
      <c r="G205" s="85" t="s">
        <v>25</v>
      </c>
      <c r="H205" s="86">
        <v>46196</v>
      </c>
      <c r="I205" s="85">
        <v>425000</v>
      </c>
      <c r="J205" s="85">
        <v>0</v>
      </c>
    </row>
    <row r="206" spans="1:10" ht="16" customHeight="1">
      <c r="A206" s="85">
        <v>3101205</v>
      </c>
      <c r="B206" s="85" t="s">
        <v>313</v>
      </c>
      <c r="C206" s="85" t="s">
        <v>264</v>
      </c>
      <c r="D206" s="85" t="s">
        <v>12</v>
      </c>
      <c r="E206" s="85" t="s">
        <v>265</v>
      </c>
      <c r="F206" s="85" t="s">
        <v>20</v>
      </c>
      <c r="G206" s="85" t="s">
        <v>21</v>
      </c>
      <c r="H206" s="86">
        <v>46226</v>
      </c>
      <c r="I206" s="85">
        <v>550000</v>
      </c>
      <c r="J206" s="85">
        <v>5</v>
      </c>
    </row>
    <row r="207" spans="1:10" ht="16" customHeight="1">
      <c r="A207" s="85">
        <v>3101206</v>
      </c>
      <c r="B207" s="85" t="s">
        <v>270</v>
      </c>
      <c r="C207" s="85" t="s">
        <v>17</v>
      </c>
      <c r="D207" s="85" t="s">
        <v>12</v>
      </c>
      <c r="E207" s="85" t="s">
        <v>265</v>
      </c>
      <c r="F207" s="85" t="s">
        <v>34</v>
      </c>
      <c r="G207" s="85" t="s">
        <v>15</v>
      </c>
      <c r="H207" s="86">
        <v>46262</v>
      </c>
      <c r="I207" s="85">
        <v>540000</v>
      </c>
      <c r="J207" s="85">
        <v>1</v>
      </c>
    </row>
    <row r="208" spans="1:10" ht="16" customHeight="1">
      <c r="A208" s="85">
        <v>3101207</v>
      </c>
      <c r="B208" s="85" t="s">
        <v>47</v>
      </c>
      <c r="C208" s="85" t="s">
        <v>260</v>
      </c>
      <c r="D208" s="85" t="s">
        <v>18</v>
      </c>
      <c r="E208" s="85" t="s">
        <v>39</v>
      </c>
      <c r="F208" s="85" t="s">
        <v>20</v>
      </c>
      <c r="G208" s="85" t="s">
        <v>21</v>
      </c>
      <c r="H208" s="86">
        <v>46261</v>
      </c>
      <c r="I208" s="85">
        <v>405000</v>
      </c>
      <c r="J208" s="85">
        <v>0</v>
      </c>
    </row>
    <row r="209" spans="1:10" ht="16" customHeight="1">
      <c r="A209" s="85">
        <v>3101208</v>
      </c>
      <c r="B209" s="85" t="s">
        <v>263</v>
      </c>
      <c r="C209" s="85" t="s">
        <v>17</v>
      </c>
      <c r="D209" s="85" t="s">
        <v>32</v>
      </c>
      <c r="E209" s="85" t="s">
        <v>33</v>
      </c>
      <c r="F209" s="85" t="s">
        <v>14</v>
      </c>
      <c r="G209" s="85" t="s">
        <v>21</v>
      </c>
      <c r="H209" s="86">
        <v>46263</v>
      </c>
      <c r="I209" s="85">
        <v>300000</v>
      </c>
      <c r="J209" s="85">
        <v>2</v>
      </c>
    </row>
    <row r="210" spans="1:10" ht="16" customHeight="1">
      <c r="A210" s="85">
        <v>3101209</v>
      </c>
      <c r="B210" s="85" t="s">
        <v>309</v>
      </c>
      <c r="C210" s="85" t="s">
        <v>258</v>
      </c>
      <c r="D210" s="85" t="s">
        <v>32</v>
      </c>
      <c r="E210" s="85" t="s">
        <v>300</v>
      </c>
      <c r="F210" s="85" t="s">
        <v>34</v>
      </c>
      <c r="G210" s="85" t="s">
        <v>21</v>
      </c>
      <c r="H210" s="86">
        <v>46175</v>
      </c>
      <c r="I210" s="85">
        <v>385000</v>
      </c>
      <c r="J210" s="85">
        <v>5</v>
      </c>
    </row>
    <row r="211" spans="1:10" ht="16" customHeight="1">
      <c r="A211" s="85">
        <v>3101210</v>
      </c>
      <c r="B211" s="85" t="s">
        <v>271</v>
      </c>
      <c r="C211" s="85" t="s">
        <v>17</v>
      </c>
      <c r="D211" s="85" t="s">
        <v>32</v>
      </c>
      <c r="E211" s="85" t="s">
        <v>300</v>
      </c>
      <c r="F211" s="85" t="s">
        <v>14</v>
      </c>
      <c r="G211" s="85" t="s">
        <v>21</v>
      </c>
      <c r="H211" s="86">
        <v>46178</v>
      </c>
      <c r="I211" s="85">
        <v>430000</v>
      </c>
      <c r="J211" s="85">
        <v>1</v>
      </c>
    </row>
    <row r="212" spans="1:10" ht="16" customHeight="1">
      <c r="A212" s="85">
        <v>3101211</v>
      </c>
      <c r="B212" s="85" t="s">
        <v>49</v>
      </c>
      <c r="C212" s="85" t="s">
        <v>264</v>
      </c>
      <c r="D212" s="85" t="s">
        <v>12</v>
      </c>
      <c r="E212" s="85" t="s">
        <v>265</v>
      </c>
      <c r="F212" s="85" t="s">
        <v>34</v>
      </c>
      <c r="G212" s="85" t="s">
        <v>25</v>
      </c>
      <c r="H212" s="86">
        <v>46214</v>
      </c>
      <c r="I212" s="85">
        <v>580000</v>
      </c>
      <c r="J212" s="85">
        <v>0</v>
      </c>
    </row>
    <row r="213" spans="1:10" ht="16" customHeight="1">
      <c r="A213" s="85">
        <v>3101212</v>
      </c>
      <c r="B213" s="85" t="s">
        <v>45</v>
      </c>
      <c r="C213" s="85" t="s">
        <v>260</v>
      </c>
      <c r="D213" s="85" t="s">
        <v>28</v>
      </c>
      <c r="E213" s="85" t="s">
        <v>297</v>
      </c>
      <c r="F213" s="85" t="s">
        <v>34</v>
      </c>
      <c r="G213" s="85" t="s">
        <v>21</v>
      </c>
      <c r="H213" s="86">
        <v>46277</v>
      </c>
      <c r="I213" s="85">
        <v>615000</v>
      </c>
      <c r="J213" s="85">
        <v>5</v>
      </c>
    </row>
    <row r="214" spans="1:10" ht="16" customHeight="1">
      <c r="A214" s="85">
        <v>3101213</v>
      </c>
      <c r="B214" s="85" t="s">
        <v>284</v>
      </c>
      <c r="C214" s="85" t="s">
        <v>27</v>
      </c>
      <c r="D214" s="85" t="s">
        <v>12</v>
      </c>
      <c r="E214" s="85" t="s">
        <v>261</v>
      </c>
      <c r="F214" s="85" t="s">
        <v>34</v>
      </c>
      <c r="G214" s="85" t="s">
        <v>21</v>
      </c>
      <c r="H214" s="86">
        <v>46190</v>
      </c>
      <c r="I214" s="85">
        <v>445000</v>
      </c>
      <c r="J214" s="85">
        <v>3</v>
      </c>
    </row>
    <row r="215" spans="1:10" ht="16" customHeight="1">
      <c r="A215" s="85">
        <v>3101214</v>
      </c>
      <c r="B215" s="85" t="s">
        <v>253</v>
      </c>
      <c r="C215" s="85" t="s">
        <v>258</v>
      </c>
      <c r="D215" s="85" t="s">
        <v>18</v>
      </c>
      <c r="E215" s="85" t="s">
        <v>19</v>
      </c>
      <c r="F215" s="85" t="s">
        <v>14</v>
      </c>
      <c r="G215" s="85" t="s">
        <v>25</v>
      </c>
      <c r="H215" s="86">
        <v>46145</v>
      </c>
      <c r="I215" s="85">
        <v>315000</v>
      </c>
      <c r="J215" s="85">
        <v>0</v>
      </c>
    </row>
    <row r="216" spans="1:10" ht="16" customHeight="1">
      <c r="A216" s="85">
        <v>3101215</v>
      </c>
      <c r="B216" s="85" t="s">
        <v>285</v>
      </c>
      <c r="C216" s="85" t="s">
        <v>11</v>
      </c>
      <c r="D216" s="85" t="s">
        <v>32</v>
      </c>
      <c r="E216" s="85" t="s">
        <v>33</v>
      </c>
      <c r="F216" s="85" t="s">
        <v>34</v>
      </c>
      <c r="G216" s="85" t="s">
        <v>25</v>
      </c>
      <c r="H216" s="86">
        <v>46149</v>
      </c>
      <c r="I216" s="85">
        <v>435000</v>
      </c>
      <c r="J216" s="85">
        <v>0</v>
      </c>
    </row>
    <row r="217" spans="1:10" ht="16" customHeight="1">
      <c r="A217" s="85">
        <v>3101216</v>
      </c>
      <c r="B217" s="85" t="s">
        <v>294</v>
      </c>
      <c r="C217" s="85" t="s">
        <v>11</v>
      </c>
      <c r="D217" s="85" t="s">
        <v>18</v>
      </c>
      <c r="E217" s="85" t="s">
        <v>39</v>
      </c>
      <c r="F217" s="85" t="s">
        <v>14</v>
      </c>
      <c r="G217" s="85" t="s">
        <v>21</v>
      </c>
      <c r="H217" s="86">
        <v>46158</v>
      </c>
      <c r="I217" s="85">
        <v>510000</v>
      </c>
      <c r="J217" s="85">
        <v>1</v>
      </c>
    </row>
    <row r="218" spans="1:10" ht="16" customHeight="1">
      <c r="A218" s="85">
        <v>3101217</v>
      </c>
      <c r="B218" s="85" t="s">
        <v>259</v>
      </c>
      <c r="C218" s="85" t="s">
        <v>268</v>
      </c>
      <c r="D218" s="85" t="s">
        <v>12</v>
      </c>
      <c r="E218" s="85" t="s">
        <v>265</v>
      </c>
      <c r="F218" s="85" t="s">
        <v>24</v>
      </c>
      <c r="G218" s="85" t="s">
        <v>15</v>
      </c>
      <c r="H218" s="86">
        <v>46260</v>
      </c>
      <c r="I218" s="85">
        <v>525000</v>
      </c>
      <c r="J218" s="85">
        <v>0</v>
      </c>
    </row>
    <row r="219" spans="1:10" ht="16" customHeight="1">
      <c r="A219" s="85">
        <v>3101218</v>
      </c>
      <c r="B219" s="85" t="s">
        <v>274</v>
      </c>
      <c r="C219" s="85" t="s">
        <v>260</v>
      </c>
      <c r="D219" s="85" t="s">
        <v>18</v>
      </c>
      <c r="E219" s="85" t="s">
        <v>19</v>
      </c>
      <c r="F219" s="85" t="s">
        <v>20</v>
      </c>
      <c r="G219" s="85" t="s">
        <v>21</v>
      </c>
      <c r="H219" s="86">
        <v>46280</v>
      </c>
      <c r="I219" s="85">
        <v>330000</v>
      </c>
      <c r="J219" s="85">
        <v>5</v>
      </c>
    </row>
    <row r="220" spans="1:10" ht="16" customHeight="1">
      <c r="A220" s="85">
        <v>3101219</v>
      </c>
      <c r="B220" s="85" t="s">
        <v>306</v>
      </c>
      <c r="C220" s="85" t="s">
        <v>258</v>
      </c>
      <c r="D220" s="85" t="s">
        <v>12</v>
      </c>
      <c r="E220" s="85" t="s">
        <v>23</v>
      </c>
      <c r="F220" s="85" t="s">
        <v>14</v>
      </c>
      <c r="G220" s="85" t="s">
        <v>21</v>
      </c>
      <c r="H220" s="86">
        <v>46206</v>
      </c>
      <c r="I220" s="85">
        <v>470000</v>
      </c>
      <c r="J220" s="85">
        <v>2</v>
      </c>
    </row>
    <row r="221" spans="1:10" ht="16" customHeight="1">
      <c r="A221" s="85">
        <v>3101220</v>
      </c>
      <c r="B221" s="85" t="s">
        <v>305</v>
      </c>
      <c r="C221" s="85" t="s">
        <v>11</v>
      </c>
      <c r="D221" s="85" t="s">
        <v>12</v>
      </c>
      <c r="E221" s="85" t="s">
        <v>36</v>
      </c>
      <c r="F221" s="85" t="s">
        <v>14</v>
      </c>
      <c r="G221" s="85" t="s">
        <v>21</v>
      </c>
      <c r="H221" s="86">
        <v>46206</v>
      </c>
      <c r="I221" s="85">
        <v>530000</v>
      </c>
      <c r="J221" s="85">
        <v>0</v>
      </c>
    </row>
    <row r="222" spans="1:10" ht="16" customHeight="1">
      <c r="A222" s="85">
        <v>3101221</v>
      </c>
      <c r="B222" s="85" t="s">
        <v>283</v>
      </c>
      <c r="C222" s="85" t="s">
        <v>11</v>
      </c>
      <c r="D222" s="85" t="s">
        <v>32</v>
      </c>
      <c r="E222" s="85" t="s">
        <v>33</v>
      </c>
      <c r="F222" s="85" t="s">
        <v>24</v>
      </c>
      <c r="G222" s="85" t="s">
        <v>15</v>
      </c>
      <c r="H222" s="86">
        <v>46146</v>
      </c>
      <c r="I222" s="85">
        <v>330000</v>
      </c>
      <c r="J222" s="85">
        <v>2</v>
      </c>
    </row>
    <row r="223" spans="1:10" ht="16" customHeight="1">
      <c r="A223" s="85">
        <v>3101222</v>
      </c>
      <c r="B223" s="85" t="s">
        <v>309</v>
      </c>
      <c r="C223" s="85" t="s">
        <v>38</v>
      </c>
      <c r="D223" s="85" t="s">
        <v>28</v>
      </c>
      <c r="E223" s="85" t="s">
        <v>297</v>
      </c>
      <c r="F223" s="85" t="s">
        <v>14</v>
      </c>
      <c r="G223" s="85" t="s">
        <v>256</v>
      </c>
      <c r="H223" s="86">
        <v>46271</v>
      </c>
      <c r="I223" s="85">
        <v>485000</v>
      </c>
      <c r="J223" s="85">
        <v>0</v>
      </c>
    </row>
    <row r="224" spans="1:10" ht="16" customHeight="1">
      <c r="A224" s="85">
        <v>3101223</v>
      </c>
      <c r="B224" s="85" t="s">
        <v>46</v>
      </c>
      <c r="C224" s="85" t="s">
        <v>27</v>
      </c>
      <c r="D224" s="85" t="s">
        <v>18</v>
      </c>
      <c r="E224" s="85" t="s">
        <v>39</v>
      </c>
      <c r="F224" s="85" t="s">
        <v>24</v>
      </c>
      <c r="G224" s="85" t="s">
        <v>256</v>
      </c>
      <c r="H224" s="86">
        <v>46165</v>
      </c>
      <c r="I224" s="85">
        <v>450000</v>
      </c>
      <c r="J224" s="85">
        <v>1</v>
      </c>
    </row>
    <row r="225" spans="1:10" ht="16" customHeight="1">
      <c r="A225" s="85">
        <v>3101224</v>
      </c>
      <c r="B225" s="85" t="s">
        <v>302</v>
      </c>
      <c r="C225" s="85" t="s">
        <v>11</v>
      </c>
      <c r="D225" s="85" t="s">
        <v>18</v>
      </c>
      <c r="E225" s="85" t="s">
        <v>19</v>
      </c>
      <c r="F225" s="85" t="s">
        <v>14</v>
      </c>
      <c r="G225" s="85" t="s">
        <v>25</v>
      </c>
      <c r="H225" s="86">
        <v>46260</v>
      </c>
      <c r="I225" s="85">
        <v>305000</v>
      </c>
      <c r="J225" s="85">
        <v>3</v>
      </c>
    </row>
    <row r="226" spans="1:10" ht="16" customHeight="1">
      <c r="A226" s="85">
        <v>3101225</v>
      </c>
      <c r="B226" s="85" t="s">
        <v>282</v>
      </c>
      <c r="C226" s="85" t="s">
        <v>268</v>
      </c>
      <c r="D226" s="85" t="s">
        <v>18</v>
      </c>
      <c r="E226" s="85" t="s">
        <v>39</v>
      </c>
      <c r="F226" s="85" t="s">
        <v>24</v>
      </c>
      <c r="G226" s="85" t="s">
        <v>25</v>
      </c>
      <c r="H226" s="86">
        <v>46188</v>
      </c>
      <c r="I226" s="85">
        <v>510000</v>
      </c>
      <c r="J226" s="85">
        <v>1</v>
      </c>
    </row>
    <row r="227" spans="1:10" ht="16" customHeight="1">
      <c r="A227" s="85">
        <v>3101226</v>
      </c>
      <c r="B227" s="85" t="s">
        <v>98</v>
      </c>
      <c r="C227" s="85" t="s">
        <v>38</v>
      </c>
      <c r="D227" s="85" t="s">
        <v>12</v>
      </c>
      <c r="E227" s="85" t="s">
        <v>265</v>
      </c>
      <c r="F227" s="85" t="s">
        <v>20</v>
      </c>
      <c r="G227" s="85" t="s">
        <v>15</v>
      </c>
      <c r="H227" s="86">
        <v>46177</v>
      </c>
      <c r="I227" s="85">
        <v>460000</v>
      </c>
      <c r="J227" s="85">
        <v>3</v>
      </c>
    </row>
    <row r="228" spans="1:10" ht="16" customHeight="1">
      <c r="A228" s="85">
        <v>3101227</v>
      </c>
      <c r="B228" s="85" t="s">
        <v>306</v>
      </c>
      <c r="C228" s="85" t="s">
        <v>17</v>
      </c>
      <c r="D228" s="85" t="s">
        <v>12</v>
      </c>
      <c r="E228" s="85" t="s">
        <v>303</v>
      </c>
      <c r="F228" s="85" t="s">
        <v>14</v>
      </c>
      <c r="G228" s="85" t="s">
        <v>15</v>
      </c>
      <c r="H228" s="86">
        <v>46294</v>
      </c>
      <c r="I228" s="85">
        <v>880000</v>
      </c>
      <c r="J228" s="85">
        <v>4</v>
      </c>
    </row>
    <row r="229" spans="1:10" ht="16" customHeight="1">
      <c r="A229" s="85">
        <v>3101228</v>
      </c>
      <c r="B229" s="85" t="s">
        <v>278</v>
      </c>
      <c r="C229" s="85" t="s">
        <v>260</v>
      </c>
      <c r="D229" s="85" t="s">
        <v>28</v>
      </c>
      <c r="E229" s="85" t="s">
        <v>297</v>
      </c>
      <c r="F229" s="85" t="s">
        <v>14</v>
      </c>
      <c r="G229" s="85" t="s">
        <v>25</v>
      </c>
      <c r="H229" s="86">
        <v>46265</v>
      </c>
      <c r="I229" s="85">
        <v>480000</v>
      </c>
      <c r="J229" s="85">
        <v>2</v>
      </c>
    </row>
    <row r="230" spans="1:10" ht="16" customHeight="1">
      <c r="A230" s="85">
        <v>3101229</v>
      </c>
      <c r="B230" s="85" t="s">
        <v>287</v>
      </c>
      <c r="C230" s="85" t="s">
        <v>264</v>
      </c>
      <c r="D230" s="85" t="s">
        <v>12</v>
      </c>
      <c r="E230" s="85" t="s">
        <v>13</v>
      </c>
      <c r="F230" s="85" t="s">
        <v>20</v>
      </c>
      <c r="G230" s="85" t="s">
        <v>21</v>
      </c>
      <c r="H230" s="86">
        <v>46203</v>
      </c>
      <c r="I230" s="85">
        <v>410000</v>
      </c>
      <c r="J230" s="85">
        <v>2</v>
      </c>
    </row>
    <row r="231" spans="1:10" ht="16" customHeight="1">
      <c r="A231" s="85">
        <v>3101230</v>
      </c>
      <c r="B231" s="85" t="s">
        <v>310</v>
      </c>
      <c r="C231" s="85" t="s">
        <v>268</v>
      </c>
      <c r="D231" s="85" t="s">
        <v>28</v>
      </c>
      <c r="E231" s="85" t="s">
        <v>29</v>
      </c>
      <c r="F231" s="85" t="s">
        <v>24</v>
      </c>
      <c r="G231" s="85" t="s">
        <v>256</v>
      </c>
      <c r="H231" s="86">
        <v>46226</v>
      </c>
      <c r="I231" s="85">
        <v>445000</v>
      </c>
      <c r="J231" s="85">
        <v>4</v>
      </c>
    </row>
    <row r="232" spans="1:10" ht="16" customHeight="1">
      <c r="A232" s="85">
        <v>3101231</v>
      </c>
      <c r="B232" s="85" t="s">
        <v>48</v>
      </c>
      <c r="C232" s="85" t="s">
        <v>260</v>
      </c>
      <c r="D232" s="85" t="s">
        <v>18</v>
      </c>
      <c r="E232" s="85" t="s">
        <v>19</v>
      </c>
      <c r="F232" s="85" t="s">
        <v>14</v>
      </c>
      <c r="G232" s="85" t="s">
        <v>15</v>
      </c>
      <c r="H232" s="86">
        <v>46175</v>
      </c>
      <c r="I232" s="85">
        <v>350000</v>
      </c>
      <c r="J232" s="85">
        <v>3</v>
      </c>
    </row>
    <row r="233" spans="1:10" ht="16" customHeight="1">
      <c r="A233" s="85">
        <v>3101232</v>
      </c>
      <c r="B233" s="85" t="s">
        <v>313</v>
      </c>
      <c r="C233" s="85" t="s">
        <v>260</v>
      </c>
      <c r="D233" s="85" t="s">
        <v>12</v>
      </c>
      <c r="E233" s="85" t="s">
        <v>265</v>
      </c>
      <c r="F233" s="85" t="s">
        <v>20</v>
      </c>
      <c r="G233" s="85" t="s">
        <v>21</v>
      </c>
      <c r="H233" s="86">
        <v>46183</v>
      </c>
      <c r="I233" s="85">
        <v>505000</v>
      </c>
      <c r="J233" s="85">
        <v>4</v>
      </c>
    </row>
    <row r="234" spans="1:10" ht="16" customHeight="1">
      <c r="A234" s="85">
        <v>3101233</v>
      </c>
      <c r="B234" s="85" t="s">
        <v>277</v>
      </c>
      <c r="C234" s="85" t="s">
        <v>27</v>
      </c>
      <c r="D234" s="85" t="s">
        <v>12</v>
      </c>
      <c r="E234" s="85" t="s">
        <v>13</v>
      </c>
      <c r="F234" s="85" t="s">
        <v>24</v>
      </c>
      <c r="G234" s="85" t="s">
        <v>25</v>
      </c>
      <c r="H234" s="86">
        <v>46224</v>
      </c>
      <c r="I234" s="85">
        <v>580000</v>
      </c>
      <c r="J234" s="85">
        <v>1</v>
      </c>
    </row>
    <row r="235" spans="1:10" ht="16" customHeight="1">
      <c r="A235" s="85">
        <v>3101234</v>
      </c>
      <c r="B235" s="85" t="s">
        <v>259</v>
      </c>
      <c r="C235" s="85" t="s">
        <v>11</v>
      </c>
      <c r="D235" s="85" t="s">
        <v>32</v>
      </c>
      <c r="E235" s="85" t="s">
        <v>300</v>
      </c>
      <c r="F235" s="85" t="s">
        <v>34</v>
      </c>
      <c r="G235" s="85" t="s">
        <v>15</v>
      </c>
      <c r="H235" s="86">
        <v>46186</v>
      </c>
      <c r="I235" s="85">
        <v>315000</v>
      </c>
      <c r="J235" s="85">
        <v>4</v>
      </c>
    </row>
    <row r="236" spans="1:10" ht="16" customHeight="1">
      <c r="A236" s="85">
        <v>3101235</v>
      </c>
      <c r="B236" s="85" t="s">
        <v>301</v>
      </c>
      <c r="C236" s="85" t="s">
        <v>11</v>
      </c>
      <c r="D236" s="85" t="s">
        <v>32</v>
      </c>
      <c r="E236" s="85" t="s">
        <v>33</v>
      </c>
      <c r="F236" s="85" t="s">
        <v>34</v>
      </c>
      <c r="G236" s="85" t="s">
        <v>15</v>
      </c>
      <c r="H236" s="86">
        <v>46160</v>
      </c>
      <c r="I236" s="85">
        <v>315000</v>
      </c>
      <c r="J236" s="85">
        <v>5</v>
      </c>
    </row>
    <row r="237" spans="1:10" ht="16" customHeight="1">
      <c r="A237" s="85">
        <v>3101236</v>
      </c>
      <c r="B237" s="85" t="s">
        <v>296</v>
      </c>
      <c r="C237" s="85" t="s">
        <v>11</v>
      </c>
      <c r="D237" s="85" t="s">
        <v>12</v>
      </c>
      <c r="E237" s="85" t="s">
        <v>261</v>
      </c>
      <c r="F237" s="85" t="s">
        <v>14</v>
      </c>
      <c r="G237" s="85" t="s">
        <v>21</v>
      </c>
      <c r="H237" s="86">
        <v>46263</v>
      </c>
      <c r="I237" s="85">
        <v>435000</v>
      </c>
      <c r="J237" s="85">
        <v>4</v>
      </c>
    </row>
    <row r="238" spans="1:10" ht="16" customHeight="1">
      <c r="A238" s="85">
        <v>3101237</v>
      </c>
      <c r="B238" s="85" t="s">
        <v>278</v>
      </c>
      <c r="C238" s="85" t="s">
        <v>38</v>
      </c>
      <c r="D238" s="85" t="s">
        <v>12</v>
      </c>
      <c r="E238" s="85" t="s">
        <v>265</v>
      </c>
      <c r="F238" s="85" t="s">
        <v>24</v>
      </c>
      <c r="G238" s="85" t="s">
        <v>21</v>
      </c>
      <c r="H238" s="86">
        <v>46190</v>
      </c>
      <c r="I238" s="85">
        <v>775000</v>
      </c>
      <c r="J238" s="85">
        <v>3</v>
      </c>
    </row>
    <row r="239" spans="1:10" ht="16" customHeight="1">
      <c r="A239" s="85">
        <v>3101238</v>
      </c>
      <c r="B239" s="85" t="s">
        <v>257</v>
      </c>
      <c r="C239" s="85" t="s">
        <v>258</v>
      </c>
      <c r="D239" s="85" t="s">
        <v>32</v>
      </c>
      <c r="E239" s="85" t="s">
        <v>300</v>
      </c>
      <c r="F239" s="85" t="s">
        <v>24</v>
      </c>
      <c r="G239" s="85" t="s">
        <v>256</v>
      </c>
      <c r="H239" s="86">
        <v>46265</v>
      </c>
      <c r="I239" s="85">
        <v>430000</v>
      </c>
      <c r="J239" s="85">
        <v>4</v>
      </c>
    </row>
    <row r="240" spans="1:10" ht="16" customHeight="1">
      <c r="A240" s="85">
        <v>3101239</v>
      </c>
      <c r="B240" s="85" t="s">
        <v>262</v>
      </c>
      <c r="C240" s="85" t="s">
        <v>268</v>
      </c>
      <c r="D240" s="85" t="s">
        <v>28</v>
      </c>
      <c r="E240" s="85" t="s">
        <v>29</v>
      </c>
      <c r="F240" s="85" t="s">
        <v>14</v>
      </c>
      <c r="G240" s="85" t="s">
        <v>25</v>
      </c>
      <c r="H240" s="86">
        <v>46179</v>
      </c>
      <c r="I240" s="85">
        <v>485000</v>
      </c>
      <c r="J240" s="85">
        <v>0</v>
      </c>
    </row>
    <row r="241" spans="1:10" ht="16" customHeight="1">
      <c r="A241" s="85">
        <v>3101240</v>
      </c>
      <c r="B241" s="85" t="s">
        <v>26</v>
      </c>
      <c r="C241" s="85" t="s">
        <v>17</v>
      </c>
      <c r="D241" s="85" t="s">
        <v>12</v>
      </c>
      <c r="E241" s="85" t="s">
        <v>36</v>
      </c>
      <c r="F241" s="85" t="s">
        <v>14</v>
      </c>
      <c r="G241" s="85" t="s">
        <v>15</v>
      </c>
      <c r="H241" s="86">
        <v>46233</v>
      </c>
      <c r="I241" s="85">
        <v>535000</v>
      </c>
      <c r="J241" s="85">
        <v>3</v>
      </c>
    </row>
    <row r="242" spans="1:10" ht="16" customHeight="1">
      <c r="A242" s="85">
        <v>3101241</v>
      </c>
      <c r="B242" s="85" t="s">
        <v>299</v>
      </c>
      <c r="C242" s="85" t="s">
        <v>11</v>
      </c>
      <c r="D242" s="85" t="s">
        <v>12</v>
      </c>
      <c r="E242" s="85" t="s">
        <v>13</v>
      </c>
      <c r="F242" s="85" t="s">
        <v>24</v>
      </c>
      <c r="G242" s="85" t="s">
        <v>15</v>
      </c>
      <c r="H242" s="86">
        <v>46284</v>
      </c>
      <c r="I242" s="85">
        <v>620000</v>
      </c>
      <c r="J242" s="85">
        <v>3</v>
      </c>
    </row>
    <row r="243" spans="1:10" ht="16" customHeight="1">
      <c r="A243" s="85">
        <v>3101242</v>
      </c>
      <c r="B243" s="85" t="s">
        <v>310</v>
      </c>
      <c r="C243" s="85" t="s">
        <v>264</v>
      </c>
      <c r="D243" s="85" t="s">
        <v>12</v>
      </c>
      <c r="E243" s="85" t="s">
        <v>265</v>
      </c>
      <c r="F243" s="85" t="s">
        <v>34</v>
      </c>
      <c r="G243" s="85" t="s">
        <v>15</v>
      </c>
      <c r="H243" s="86">
        <v>46270</v>
      </c>
      <c r="I243" s="85">
        <v>650000</v>
      </c>
      <c r="J243" s="85">
        <v>2</v>
      </c>
    </row>
    <row r="244" spans="1:10" ht="16" customHeight="1">
      <c r="A244" s="85">
        <v>3101243</v>
      </c>
      <c r="B244" s="85" t="s">
        <v>252</v>
      </c>
      <c r="C244" s="85" t="s">
        <v>264</v>
      </c>
      <c r="D244" s="85" t="s">
        <v>12</v>
      </c>
      <c r="E244" s="85" t="s">
        <v>13</v>
      </c>
      <c r="F244" s="85" t="s">
        <v>14</v>
      </c>
      <c r="G244" s="85" t="s">
        <v>15</v>
      </c>
      <c r="H244" s="86">
        <v>46237</v>
      </c>
      <c r="I244" s="85">
        <v>395000</v>
      </c>
      <c r="J244" s="85">
        <v>0</v>
      </c>
    </row>
    <row r="245" spans="1:10" ht="16" customHeight="1">
      <c r="A245" s="85">
        <v>3101244</v>
      </c>
      <c r="B245" s="85" t="s">
        <v>294</v>
      </c>
      <c r="C245" s="85" t="s">
        <v>258</v>
      </c>
      <c r="D245" s="85" t="s">
        <v>12</v>
      </c>
      <c r="E245" s="85" t="s">
        <v>265</v>
      </c>
      <c r="F245" s="85" t="s">
        <v>20</v>
      </c>
      <c r="G245" s="85" t="s">
        <v>256</v>
      </c>
      <c r="H245" s="86">
        <v>46266</v>
      </c>
      <c r="I245" s="85">
        <v>475000</v>
      </c>
      <c r="J245" s="85">
        <v>0</v>
      </c>
    </row>
    <row r="246" spans="1:10" ht="16" customHeight="1">
      <c r="A246" s="85">
        <v>3101245</v>
      </c>
      <c r="B246" s="85" t="s">
        <v>45</v>
      </c>
      <c r="C246" s="85" t="s">
        <v>260</v>
      </c>
      <c r="D246" s="85" t="s">
        <v>12</v>
      </c>
      <c r="E246" s="85" t="s">
        <v>265</v>
      </c>
      <c r="F246" s="85" t="s">
        <v>24</v>
      </c>
      <c r="G246" s="85" t="s">
        <v>25</v>
      </c>
      <c r="H246" s="86">
        <v>46163</v>
      </c>
      <c r="I246" s="85">
        <v>615000</v>
      </c>
      <c r="J246" s="85">
        <v>3</v>
      </c>
    </row>
    <row r="247" spans="1:10" ht="16" customHeight="1">
      <c r="A247" s="85">
        <v>3101246</v>
      </c>
      <c r="B247" s="85" t="s">
        <v>257</v>
      </c>
      <c r="C247" s="85" t="s">
        <v>11</v>
      </c>
      <c r="D247" s="85" t="s">
        <v>18</v>
      </c>
      <c r="E247" s="85" t="s">
        <v>39</v>
      </c>
      <c r="F247" s="85" t="s">
        <v>20</v>
      </c>
      <c r="G247" s="85" t="s">
        <v>256</v>
      </c>
      <c r="H247" s="86">
        <v>46149</v>
      </c>
      <c r="I247" s="85">
        <v>420000</v>
      </c>
      <c r="J247" s="85">
        <v>0</v>
      </c>
    </row>
    <row r="248" spans="1:10" ht="16" customHeight="1">
      <c r="A248" s="85">
        <v>3101247</v>
      </c>
      <c r="B248" s="85" t="s">
        <v>279</v>
      </c>
      <c r="C248" s="85" t="s">
        <v>38</v>
      </c>
      <c r="D248" s="85" t="s">
        <v>12</v>
      </c>
      <c r="E248" s="85" t="s">
        <v>23</v>
      </c>
      <c r="F248" s="85" t="s">
        <v>20</v>
      </c>
      <c r="G248" s="85" t="s">
        <v>15</v>
      </c>
      <c r="H248" s="86">
        <v>46194</v>
      </c>
      <c r="I248" s="85">
        <v>435000</v>
      </c>
      <c r="J248" s="85">
        <v>5</v>
      </c>
    </row>
    <row r="249" spans="1:10" ht="16" customHeight="1">
      <c r="A249" s="85">
        <v>3101248</v>
      </c>
      <c r="B249" s="85" t="s">
        <v>292</v>
      </c>
      <c r="C249" s="85" t="s">
        <v>27</v>
      </c>
      <c r="D249" s="85" t="s">
        <v>12</v>
      </c>
      <c r="E249" s="85" t="s">
        <v>303</v>
      </c>
      <c r="F249" s="85" t="s">
        <v>14</v>
      </c>
      <c r="G249" s="85" t="s">
        <v>15</v>
      </c>
      <c r="H249" s="86">
        <v>46235</v>
      </c>
      <c r="I249" s="85">
        <v>500000</v>
      </c>
      <c r="J249" s="85">
        <v>1</v>
      </c>
    </row>
    <row r="250" spans="1:10" ht="16" customHeight="1">
      <c r="A250" s="85">
        <v>3101249</v>
      </c>
      <c r="B250" s="85" t="s">
        <v>253</v>
      </c>
      <c r="C250" s="85" t="s">
        <v>17</v>
      </c>
      <c r="D250" s="85" t="s">
        <v>12</v>
      </c>
      <c r="E250" s="85" t="s">
        <v>23</v>
      </c>
      <c r="F250" s="85" t="s">
        <v>34</v>
      </c>
      <c r="G250" s="85" t="s">
        <v>21</v>
      </c>
      <c r="H250" s="86">
        <v>46180</v>
      </c>
      <c r="I250" s="85">
        <v>580000</v>
      </c>
      <c r="J250" s="85">
        <v>4</v>
      </c>
    </row>
    <row r="251" spans="1:10" ht="16" customHeight="1">
      <c r="A251" s="85">
        <v>3101250</v>
      </c>
      <c r="B251" s="85" t="s">
        <v>254</v>
      </c>
      <c r="C251" s="85" t="s">
        <v>38</v>
      </c>
      <c r="D251" s="85" t="s">
        <v>12</v>
      </c>
      <c r="E251" s="85" t="s">
        <v>261</v>
      </c>
      <c r="F251" s="85" t="s">
        <v>14</v>
      </c>
      <c r="G251" s="85" t="s">
        <v>25</v>
      </c>
      <c r="H251" s="86">
        <v>46280</v>
      </c>
      <c r="I251" s="85">
        <v>675000</v>
      </c>
      <c r="J251" s="85">
        <v>1</v>
      </c>
    </row>
    <row r="252" spans="1:10" ht="16" customHeight="1">
      <c r="A252" s="85">
        <v>3101251</v>
      </c>
      <c r="B252" s="85" t="s">
        <v>255</v>
      </c>
      <c r="C252" s="85" t="s">
        <v>258</v>
      </c>
      <c r="D252" s="85" t="s">
        <v>32</v>
      </c>
      <c r="E252" s="85" t="s">
        <v>300</v>
      </c>
      <c r="F252" s="85" t="s">
        <v>14</v>
      </c>
      <c r="G252" s="85" t="s">
        <v>256</v>
      </c>
      <c r="H252" s="86">
        <v>46240</v>
      </c>
      <c r="I252" s="85">
        <v>395000</v>
      </c>
      <c r="J252" s="85">
        <v>1</v>
      </c>
    </row>
    <row r="253" spans="1:10" ht="16" customHeight="1">
      <c r="A253" s="85">
        <v>3101252</v>
      </c>
      <c r="B253" s="85" t="s">
        <v>254</v>
      </c>
      <c r="C253" s="85" t="s">
        <v>27</v>
      </c>
      <c r="D253" s="85" t="s">
        <v>12</v>
      </c>
      <c r="E253" s="85" t="s">
        <v>36</v>
      </c>
      <c r="F253" s="85" t="s">
        <v>24</v>
      </c>
      <c r="G253" s="85" t="s">
        <v>256</v>
      </c>
      <c r="H253" s="86">
        <v>46278</v>
      </c>
      <c r="I253" s="85">
        <v>740000</v>
      </c>
      <c r="J253" s="85">
        <v>5</v>
      </c>
    </row>
    <row r="254" spans="1:10" ht="16" customHeight="1">
      <c r="A254" s="85">
        <v>3101253</v>
      </c>
      <c r="B254" s="85" t="s">
        <v>174</v>
      </c>
      <c r="C254" s="85" t="s">
        <v>268</v>
      </c>
      <c r="D254" s="85" t="s">
        <v>18</v>
      </c>
      <c r="E254" s="85" t="s">
        <v>19</v>
      </c>
      <c r="F254" s="85" t="s">
        <v>20</v>
      </c>
      <c r="G254" s="85" t="s">
        <v>21</v>
      </c>
      <c r="H254" s="86">
        <v>46156</v>
      </c>
      <c r="I254" s="85">
        <v>300000</v>
      </c>
      <c r="J254" s="85">
        <v>2</v>
      </c>
    </row>
    <row r="255" spans="1:10" ht="16" customHeight="1">
      <c r="A255" s="85">
        <v>3101254</v>
      </c>
      <c r="B255" s="85" t="s">
        <v>257</v>
      </c>
      <c r="C255" s="85" t="s">
        <v>260</v>
      </c>
      <c r="D255" s="85" t="s">
        <v>12</v>
      </c>
      <c r="E255" s="85" t="s">
        <v>36</v>
      </c>
      <c r="F255" s="85" t="s">
        <v>34</v>
      </c>
      <c r="G255" s="85" t="s">
        <v>256</v>
      </c>
      <c r="H255" s="86">
        <v>46278</v>
      </c>
      <c r="I255" s="85">
        <v>705000</v>
      </c>
      <c r="J255" s="85">
        <v>5</v>
      </c>
    </row>
    <row r="256" spans="1:10" ht="16" customHeight="1">
      <c r="A256" s="85">
        <v>3101255</v>
      </c>
      <c r="B256" s="85" t="s">
        <v>291</v>
      </c>
      <c r="C256" s="85" t="s">
        <v>27</v>
      </c>
      <c r="D256" s="85" t="s">
        <v>12</v>
      </c>
      <c r="E256" s="85" t="s">
        <v>261</v>
      </c>
      <c r="F256" s="85" t="s">
        <v>24</v>
      </c>
      <c r="G256" s="85" t="s">
        <v>25</v>
      </c>
      <c r="H256" s="86">
        <v>46255</v>
      </c>
      <c r="I256" s="85">
        <v>685000</v>
      </c>
      <c r="J256" s="85">
        <v>2</v>
      </c>
    </row>
    <row r="257" spans="1:10" ht="16" customHeight="1">
      <c r="A257" s="85">
        <v>3101256</v>
      </c>
      <c r="B257" s="85" t="s">
        <v>284</v>
      </c>
      <c r="C257" s="85" t="s">
        <v>27</v>
      </c>
      <c r="D257" s="85" t="s">
        <v>18</v>
      </c>
      <c r="E257" s="85" t="s">
        <v>39</v>
      </c>
      <c r="F257" s="85" t="s">
        <v>20</v>
      </c>
      <c r="G257" s="85" t="s">
        <v>21</v>
      </c>
      <c r="H257" s="86">
        <v>46258</v>
      </c>
      <c r="I257" s="85">
        <v>445000</v>
      </c>
      <c r="J257" s="85">
        <v>3</v>
      </c>
    </row>
    <row r="258" spans="1:10" ht="16" customHeight="1">
      <c r="A258" s="85">
        <v>3101257</v>
      </c>
      <c r="B258" s="85" t="s">
        <v>266</v>
      </c>
      <c r="C258" s="85" t="s">
        <v>260</v>
      </c>
      <c r="D258" s="85" t="s">
        <v>32</v>
      </c>
      <c r="E258" s="85" t="s">
        <v>300</v>
      </c>
      <c r="F258" s="85" t="s">
        <v>20</v>
      </c>
      <c r="G258" s="85" t="s">
        <v>15</v>
      </c>
      <c r="H258" s="86">
        <v>46203</v>
      </c>
      <c r="I258" s="85">
        <v>395000</v>
      </c>
      <c r="J258" s="85">
        <v>3</v>
      </c>
    </row>
    <row r="259" spans="1:10" ht="16" customHeight="1">
      <c r="A259" s="85">
        <v>3101258</v>
      </c>
      <c r="B259" s="85" t="s">
        <v>294</v>
      </c>
      <c r="C259" s="85" t="s">
        <v>264</v>
      </c>
      <c r="D259" s="85" t="s">
        <v>12</v>
      </c>
      <c r="E259" s="85" t="s">
        <v>303</v>
      </c>
      <c r="F259" s="85" t="s">
        <v>14</v>
      </c>
      <c r="G259" s="85" t="s">
        <v>21</v>
      </c>
      <c r="H259" s="86">
        <v>46245</v>
      </c>
      <c r="I259" s="85">
        <v>790000</v>
      </c>
      <c r="J259" s="85">
        <v>2</v>
      </c>
    </row>
    <row r="260" spans="1:10" ht="16" customHeight="1">
      <c r="A260" s="85">
        <v>3101259</v>
      </c>
      <c r="B260" s="85" t="s">
        <v>273</v>
      </c>
      <c r="C260" s="85" t="s">
        <v>258</v>
      </c>
      <c r="D260" s="85" t="s">
        <v>12</v>
      </c>
      <c r="E260" s="85" t="s">
        <v>13</v>
      </c>
      <c r="F260" s="85" t="s">
        <v>34</v>
      </c>
      <c r="G260" s="85" t="s">
        <v>21</v>
      </c>
      <c r="H260" s="86">
        <v>46201</v>
      </c>
      <c r="I260" s="85">
        <v>445000</v>
      </c>
      <c r="J260" s="85">
        <v>1</v>
      </c>
    </row>
    <row r="261" spans="1:10" ht="16" customHeight="1">
      <c r="A261" s="85">
        <v>3101260</v>
      </c>
      <c r="B261" s="85" t="s">
        <v>301</v>
      </c>
      <c r="C261" s="85" t="s">
        <v>27</v>
      </c>
      <c r="D261" s="85" t="s">
        <v>28</v>
      </c>
      <c r="E261" s="85" t="s">
        <v>29</v>
      </c>
      <c r="F261" s="85" t="s">
        <v>20</v>
      </c>
      <c r="G261" s="85" t="s">
        <v>21</v>
      </c>
      <c r="H261" s="86">
        <v>46147</v>
      </c>
      <c r="I261" s="85">
        <v>490000</v>
      </c>
      <c r="J261" s="85">
        <v>4</v>
      </c>
    </row>
    <row r="262" spans="1:10" ht="16" customHeight="1">
      <c r="A262" s="85">
        <v>3101261</v>
      </c>
      <c r="B262" s="85" t="s">
        <v>26</v>
      </c>
      <c r="C262" s="85" t="s">
        <v>260</v>
      </c>
      <c r="D262" s="85" t="s">
        <v>12</v>
      </c>
      <c r="E262" s="85" t="s">
        <v>261</v>
      </c>
      <c r="F262" s="85" t="s">
        <v>34</v>
      </c>
      <c r="G262" s="85" t="s">
        <v>21</v>
      </c>
      <c r="H262" s="86">
        <v>46223</v>
      </c>
      <c r="I262" s="85">
        <v>700000</v>
      </c>
      <c r="J262" s="85">
        <v>0</v>
      </c>
    </row>
    <row r="263" spans="1:10" ht="16" customHeight="1">
      <c r="A263" s="85">
        <v>3101262</v>
      </c>
      <c r="B263" s="85" t="s">
        <v>293</v>
      </c>
      <c r="C263" s="85" t="s">
        <v>268</v>
      </c>
      <c r="D263" s="85" t="s">
        <v>12</v>
      </c>
      <c r="E263" s="85" t="s">
        <v>36</v>
      </c>
      <c r="F263" s="85" t="s">
        <v>14</v>
      </c>
      <c r="G263" s="85" t="s">
        <v>21</v>
      </c>
      <c r="H263" s="86">
        <v>46283</v>
      </c>
      <c r="I263" s="85">
        <v>580000</v>
      </c>
      <c r="J263" s="85">
        <v>1</v>
      </c>
    </row>
    <row r="264" spans="1:10" ht="16" customHeight="1">
      <c r="A264" s="85">
        <v>3101263</v>
      </c>
      <c r="B264" s="85" t="s">
        <v>306</v>
      </c>
      <c r="C264" s="85" t="s">
        <v>258</v>
      </c>
      <c r="D264" s="85" t="s">
        <v>32</v>
      </c>
      <c r="E264" s="85" t="s">
        <v>33</v>
      </c>
      <c r="F264" s="85" t="s">
        <v>14</v>
      </c>
      <c r="G264" s="85" t="s">
        <v>21</v>
      </c>
      <c r="H264" s="86">
        <v>46244</v>
      </c>
      <c r="I264" s="85">
        <v>400000</v>
      </c>
      <c r="J264" s="85">
        <v>4</v>
      </c>
    </row>
    <row r="265" spans="1:10" ht="16" customHeight="1">
      <c r="A265" s="85">
        <v>3101264</v>
      </c>
      <c r="B265" s="85" t="s">
        <v>288</v>
      </c>
      <c r="C265" s="85" t="s">
        <v>17</v>
      </c>
      <c r="D265" s="85" t="s">
        <v>28</v>
      </c>
      <c r="E265" s="85" t="s">
        <v>29</v>
      </c>
      <c r="F265" s="85" t="s">
        <v>34</v>
      </c>
      <c r="G265" s="85" t="s">
        <v>25</v>
      </c>
      <c r="H265" s="86">
        <v>46272</v>
      </c>
      <c r="I265" s="85">
        <v>465000</v>
      </c>
      <c r="J265" s="85">
        <v>4</v>
      </c>
    </row>
    <row r="266" spans="1:10" ht="16" customHeight="1">
      <c r="A266" s="85">
        <v>3101265</v>
      </c>
      <c r="B266" s="85" t="s">
        <v>44</v>
      </c>
      <c r="C266" s="85" t="s">
        <v>11</v>
      </c>
      <c r="D266" s="85" t="s">
        <v>32</v>
      </c>
      <c r="E266" s="85" t="s">
        <v>33</v>
      </c>
      <c r="F266" s="85" t="s">
        <v>24</v>
      </c>
      <c r="G266" s="85" t="s">
        <v>25</v>
      </c>
      <c r="H266" s="86">
        <v>46188</v>
      </c>
      <c r="I266" s="85">
        <v>290000</v>
      </c>
      <c r="J266" s="85">
        <v>1</v>
      </c>
    </row>
    <row r="267" spans="1:10" ht="16" customHeight="1">
      <c r="A267" s="85">
        <v>3101266</v>
      </c>
      <c r="B267" s="85" t="s">
        <v>302</v>
      </c>
      <c r="C267" s="85" t="s">
        <v>258</v>
      </c>
      <c r="D267" s="85" t="s">
        <v>18</v>
      </c>
      <c r="E267" s="85" t="s">
        <v>39</v>
      </c>
      <c r="F267" s="85" t="s">
        <v>34</v>
      </c>
      <c r="G267" s="85" t="s">
        <v>21</v>
      </c>
      <c r="H267" s="86">
        <v>46272</v>
      </c>
      <c r="I267" s="85">
        <v>355000</v>
      </c>
      <c r="J267" s="85">
        <v>0</v>
      </c>
    </row>
    <row r="268" spans="1:10" ht="16" customHeight="1">
      <c r="A268" s="85">
        <v>3101267</v>
      </c>
      <c r="B268" s="85" t="s">
        <v>280</v>
      </c>
      <c r="C268" s="85" t="s">
        <v>11</v>
      </c>
      <c r="D268" s="85" t="s">
        <v>18</v>
      </c>
      <c r="E268" s="85" t="s">
        <v>39</v>
      </c>
      <c r="F268" s="85" t="s">
        <v>20</v>
      </c>
      <c r="G268" s="85" t="s">
        <v>21</v>
      </c>
      <c r="H268" s="86">
        <v>46150</v>
      </c>
      <c r="I268" s="85">
        <v>375000</v>
      </c>
      <c r="J268" s="85">
        <v>0</v>
      </c>
    </row>
    <row r="269" spans="1:10" ht="16" customHeight="1">
      <c r="A269" s="85">
        <v>3101268</v>
      </c>
      <c r="B269" s="85" t="s">
        <v>275</v>
      </c>
      <c r="C269" s="85" t="s">
        <v>27</v>
      </c>
      <c r="D269" s="85" t="s">
        <v>12</v>
      </c>
      <c r="E269" s="85" t="s">
        <v>13</v>
      </c>
      <c r="F269" s="85" t="s">
        <v>20</v>
      </c>
      <c r="G269" s="85" t="s">
        <v>15</v>
      </c>
      <c r="H269" s="86">
        <v>46167</v>
      </c>
      <c r="I269" s="85">
        <v>635000</v>
      </c>
      <c r="J269" s="85">
        <v>5</v>
      </c>
    </row>
    <row r="270" spans="1:10" ht="16" customHeight="1">
      <c r="A270" s="85">
        <v>3101269</v>
      </c>
      <c r="B270" s="85" t="s">
        <v>314</v>
      </c>
      <c r="C270" s="85" t="s">
        <v>27</v>
      </c>
      <c r="D270" s="85" t="s">
        <v>18</v>
      </c>
      <c r="E270" s="85" t="s">
        <v>39</v>
      </c>
      <c r="F270" s="85" t="s">
        <v>34</v>
      </c>
      <c r="G270" s="85" t="s">
        <v>21</v>
      </c>
      <c r="H270" s="86">
        <v>46272</v>
      </c>
      <c r="I270" s="85">
        <v>365000</v>
      </c>
      <c r="J270" s="85">
        <v>4</v>
      </c>
    </row>
    <row r="271" spans="1:10" ht="16" customHeight="1">
      <c r="A271" s="85">
        <v>3101270</v>
      </c>
      <c r="B271" s="85" t="s">
        <v>294</v>
      </c>
      <c r="C271" s="85" t="s">
        <v>258</v>
      </c>
      <c r="D271" s="85" t="s">
        <v>32</v>
      </c>
      <c r="E271" s="85" t="s">
        <v>300</v>
      </c>
      <c r="F271" s="85" t="s">
        <v>24</v>
      </c>
      <c r="G271" s="85" t="s">
        <v>21</v>
      </c>
      <c r="H271" s="86">
        <v>46213</v>
      </c>
      <c r="I271" s="85">
        <v>290000</v>
      </c>
      <c r="J271" s="85">
        <v>1</v>
      </c>
    </row>
    <row r="272" spans="1:10" ht="16" customHeight="1">
      <c r="A272" s="85">
        <v>3101271</v>
      </c>
      <c r="B272" s="85" t="s">
        <v>301</v>
      </c>
      <c r="C272" s="85" t="s">
        <v>268</v>
      </c>
      <c r="D272" s="85" t="s">
        <v>12</v>
      </c>
      <c r="E272" s="85" t="s">
        <v>261</v>
      </c>
      <c r="F272" s="85" t="s">
        <v>20</v>
      </c>
      <c r="G272" s="85" t="s">
        <v>256</v>
      </c>
      <c r="H272" s="86">
        <v>46243</v>
      </c>
      <c r="I272" s="85">
        <v>485000</v>
      </c>
      <c r="J272" s="85">
        <v>2</v>
      </c>
    </row>
    <row r="273" spans="1:10" ht="16" customHeight="1">
      <c r="A273" s="85">
        <v>3101272</v>
      </c>
      <c r="B273" s="85" t="s">
        <v>45</v>
      </c>
      <c r="C273" s="85" t="s">
        <v>38</v>
      </c>
      <c r="D273" s="85" t="s">
        <v>12</v>
      </c>
      <c r="E273" s="85" t="s">
        <v>23</v>
      </c>
      <c r="F273" s="85" t="s">
        <v>20</v>
      </c>
      <c r="G273" s="85" t="s">
        <v>25</v>
      </c>
      <c r="H273" s="86">
        <v>46257</v>
      </c>
      <c r="I273" s="85">
        <v>520000</v>
      </c>
      <c r="J273" s="85">
        <v>3</v>
      </c>
    </row>
    <row r="274" spans="1:10" ht="16" customHeight="1">
      <c r="A274" s="85">
        <v>3101273</v>
      </c>
      <c r="B274" s="85" t="s">
        <v>305</v>
      </c>
      <c r="C274" s="85" t="s">
        <v>260</v>
      </c>
      <c r="D274" s="85" t="s">
        <v>12</v>
      </c>
      <c r="E274" s="85" t="s">
        <v>23</v>
      </c>
      <c r="F274" s="85" t="s">
        <v>34</v>
      </c>
      <c r="G274" s="85" t="s">
        <v>256</v>
      </c>
      <c r="H274" s="86">
        <v>46200</v>
      </c>
      <c r="I274" s="85">
        <v>610000</v>
      </c>
      <c r="J274" s="85">
        <v>2</v>
      </c>
    </row>
    <row r="275" spans="1:10" ht="16" customHeight="1">
      <c r="A275" s="85">
        <v>3101274</v>
      </c>
      <c r="B275" s="85" t="s">
        <v>302</v>
      </c>
      <c r="C275" s="85" t="s">
        <v>258</v>
      </c>
      <c r="D275" s="85" t="s">
        <v>28</v>
      </c>
      <c r="E275" s="85" t="s">
        <v>297</v>
      </c>
      <c r="F275" s="85" t="s">
        <v>24</v>
      </c>
      <c r="G275" s="85" t="s">
        <v>25</v>
      </c>
      <c r="H275" s="86">
        <v>46189</v>
      </c>
      <c r="I275" s="85">
        <v>550000</v>
      </c>
      <c r="J275" s="85">
        <v>0</v>
      </c>
    </row>
    <row r="276" spans="1:10" ht="16" customHeight="1">
      <c r="A276" s="85">
        <v>3101275</v>
      </c>
      <c r="B276" s="85" t="s">
        <v>274</v>
      </c>
      <c r="C276" s="85" t="s">
        <v>38</v>
      </c>
      <c r="D276" s="85" t="s">
        <v>12</v>
      </c>
      <c r="E276" s="85" t="s">
        <v>265</v>
      </c>
      <c r="F276" s="85" t="s">
        <v>24</v>
      </c>
      <c r="G276" s="85" t="s">
        <v>15</v>
      </c>
      <c r="H276" s="86">
        <v>46255</v>
      </c>
      <c r="I276" s="85">
        <v>650000</v>
      </c>
      <c r="J276" s="85">
        <v>5</v>
      </c>
    </row>
    <row r="277" spans="1:10" ht="16" customHeight="1">
      <c r="A277" s="85">
        <v>3101276</v>
      </c>
      <c r="B277" s="85" t="s">
        <v>306</v>
      </c>
      <c r="C277" s="85" t="s">
        <v>27</v>
      </c>
      <c r="D277" s="85" t="s">
        <v>12</v>
      </c>
      <c r="E277" s="85" t="s">
        <v>36</v>
      </c>
      <c r="F277" s="85" t="s">
        <v>20</v>
      </c>
      <c r="G277" s="85" t="s">
        <v>256</v>
      </c>
      <c r="H277" s="86">
        <v>46201</v>
      </c>
      <c r="I277" s="85">
        <v>620000</v>
      </c>
      <c r="J277" s="85">
        <v>4</v>
      </c>
    </row>
    <row r="278" spans="1:10" ht="16" customHeight="1">
      <c r="A278" s="85">
        <v>3101277</v>
      </c>
      <c r="B278" s="85" t="s">
        <v>286</v>
      </c>
      <c r="C278" s="85" t="s">
        <v>27</v>
      </c>
      <c r="D278" s="85" t="s">
        <v>18</v>
      </c>
      <c r="E278" s="85" t="s">
        <v>39</v>
      </c>
      <c r="F278" s="85" t="s">
        <v>34</v>
      </c>
      <c r="G278" s="85" t="s">
        <v>25</v>
      </c>
      <c r="H278" s="86">
        <v>46270</v>
      </c>
      <c r="I278" s="85">
        <v>435000</v>
      </c>
      <c r="J278" s="85">
        <v>0</v>
      </c>
    </row>
    <row r="279" spans="1:10" ht="16" customHeight="1">
      <c r="A279" s="85">
        <v>3101278</v>
      </c>
      <c r="B279" s="85" t="s">
        <v>277</v>
      </c>
      <c r="C279" s="85" t="s">
        <v>27</v>
      </c>
      <c r="D279" s="85" t="s">
        <v>32</v>
      </c>
      <c r="E279" s="85" t="s">
        <v>33</v>
      </c>
      <c r="F279" s="85" t="s">
        <v>34</v>
      </c>
      <c r="G279" s="85" t="s">
        <v>15</v>
      </c>
      <c r="H279" s="86">
        <v>46191</v>
      </c>
      <c r="I279" s="85">
        <v>435000</v>
      </c>
      <c r="J279" s="85">
        <v>0</v>
      </c>
    </row>
    <row r="280" spans="1:10" ht="16" customHeight="1">
      <c r="A280" s="85">
        <v>3101279</v>
      </c>
      <c r="B280" s="85" t="s">
        <v>263</v>
      </c>
      <c r="C280" s="85" t="s">
        <v>27</v>
      </c>
      <c r="D280" s="85" t="s">
        <v>12</v>
      </c>
      <c r="E280" s="85" t="s">
        <v>303</v>
      </c>
      <c r="F280" s="85" t="s">
        <v>20</v>
      </c>
      <c r="G280" s="85" t="s">
        <v>256</v>
      </c>
      <c r="H280" s="86">
        <v>46271</v>
      </c>
      <c r="I280" s="85">
        <v>820000</v>
      </c>
      <c r="J280" s="85">
        <v>4</v>
      </c>
    </row>
    <row r="281" spans="1:10" ht="16" customHeight="1">
      <c r="A281" s="85">
        <v>3101280</v>
      </c>
      <c r="B281" s="85" t="s">
        <v>289</v>
      </c>
      <c r="C281" s="85" t="s">
        <v>268</v>
      </c>
      <c r="D281" s="85" t="s">
        <v>12</v>
      </c>
      <c r="E281" s="85" t="s">
        <v>23</v>
      </c>
      <c r="F281" s="85" t="s">
        <v>20</v>
      </c>
      <c r="G281" s="85" t="s">
        <v>25</v>
      </c>
      <c r="H281" s="86">
        <v>46200</v>
      </c>
      <c r="I281" s="85">
        <v>625000</v>
      </c>
      <c r="J281" s="85">
        <v>2</v>
      </c>
    </row>
    <row r="282" spans="1:10" ht="16" customHeight="1">
      <c r="A282" s="85">
        <v>3101281</v>
      </c>
      <c r="B282" s="85" t="s">
        <v>259</v>
      </c>
      <c r="C282" s="85" t="s">
        <v>258</v>
      </c>
      <c r="D282" s="85" t="s">
        <v>12</v>
      </c>
      <c r="E282" s="85" t="s">
        <v>13</v>
      </c>
      <c r="F282" s="85" t="s">
        <v>20</v>
      </c>
      <c r="G282" s="85" t="s">
        <v>256</v>
      </c>
      <c r="H282" s="86">
        <v>46211</v>
      </c>
      <c r="I282" s="85">
        <v>380000</v>
      </c>
      <c r="J282" s="85">
        <v>2</v>
      </c>
    </row>
    <row r="283" spans="1:10" ht="16" customHeight="1">
      <c r="A283" s="85">
        <v>3101282</v>
      </c>
      <c r="B283" s="85" t="s">
        <v>284</v>
      </c>
      <c r="C283" s="85" t="s">
        <v>17</v>
      </c>
      <c r="D283" s="85" t="s">
        <v>12</v>
      </c>
      <c r="E283" s="85" t="s">
        <v>261</v>
      </c>
      <c r="F283" s="85" t="s">
        <v>34</v>
      </c>
      <c r="G283" s="85" t="s">
        <v>25</v>
      </c>
      <c r="H283" s="86">
        <v>46218</v>
      </c>
      <c r="I283" s="85">
        <v>430000</v>
      </c>
      <c r="J283" s="85">
        <v>3</v>
      </c>
    </row>
    <row r="284" spans="1:10" ht="16" customHeight="1">
      <c r="A284" s="85">
        <v>3101283</v>
      </c>
      <c r="B284" s="85" t="s">
        <v>311</v>
      </c>
      <c r="C284" s="85" t="s">
        <v>264</v>
      </c>
      <c r="D284" s="85" t="s">
        <v>32</v>
      </c>
      <c r="E284" s="85" t="s">
        <v>33</v>
      </c>
      <c r="F284" s="85" t="s">
        <v>34</v>
      </c>
      <c r="G284" s="85" t="s">
        <v>21</v>
      </c>
      <c r="H284" s="86">
        <v>46156</v>
      </c>
      <c r="I284" s="85">
        <v>425000</v>
      </c>
      <c r="J284" s="85">
        <v>0</v>
      </c>
    </row>
    <row r="285" spans="1:10" ht="16" customHeight="1">
      <c r="A285" s="85">
        <v>3101284</v>
      </c>
      <c r="B285" s="85" t="s">
        <v>269</v>
      </c>
      <c r="C285" s="85" t="s">
        <v>264</v>
      </c>
      <c r="D285" s="85" t="s">
        <v>12</v>
      </c>
      <c r="E285" s="85" t="s">
        <v>23</v>
      </c>
      <c r="F285" s="85" t="s">
        <v>34</v>
      </c>
      <c r="G285" s="85" t="s">
        <v>25</v>
      </c>
      <c r="H285" s="86">
        <v>46145</v>
      </c>
      <c r="I285" s="85">
        <v>550000</v>
      </c>
      <c r="J285" s="85">
        <v>0</v>
      </c>
    </row>
    <row r="286" spans="1:10" ht="16" customHeight="1">
      <c r="A286" s="85">
        <v>3101285</v>
      </c>
      <c r="B286" s="85" t="s">
        <v>290</v>
      </c>
      <c r="C286" s="85" t="s">
        <v>17</v>
      </c>
      <c r="D286" s="85" t="s">
        <v>12</v>
      </c>
      <c r="E286" s="85" t="s">
        <v>303</v>
      </c>
      <c r="F286" s="85" t="s">
        <v>20</v>
      </c>
      <c r="G286" s="85" t="s">
        <v>15</v>
      </c>
      <c r="H286" s="86">
        <v>46152</v>
      </c>
      <c r="I286" s="85">
        <v>625000</v>
      </c>
      <c r="J286" s="85">
        <v>4</v>
      </c>
    </row>
    <row r="287" spans="1:10" ht="16" customHeight="1">
      <c r="A287" s="85">
        <v>3101286</v>
      </c>
      <c r="B287" s="85" t="s">
        <v>301</v>
      </c>
      <c r="C287" s="85" t="s">
        <v>17</v>
      </c>
      <c r="D287" s="85" t="s">
        <v>18</v>
      </c>
      <c r="E287" s="85" t="s">
        <v>39</v>
      </c>
      <c r="F287" s="85" t="s">
        <v>34</v>
      </c>
      <c r="G287" s="85" t="s">
        <v>256</v>
      </c>
      <c r="H287" s="86">
        <v>46252</v>
      </c>
      <c r="I287" s="85">
        <v>320000</v>
      </c>
      <c r="J287" s="85">
        <v>0</v>
      </c>
    </row>
    <row r="288" spans="1:10" ht="16" customHeight="1">
      <c r="A288" s="85">
        <v>3101287</v>
      </c>
      <c r="B288" s="85" t="s">
        <v>284</v>
      </c>
      <c r="C288" s="85" t="s">
        <v>11</v>
      </c>
      <c r="D288" s="85" t="s">
        <v>12</v>
      </c>
      <c r="E288" s="85" t="s">
        <v>23</v>
      </c>
      <c r="F288" s="85" t="s">
        <v>34</v>
      </c>
      <c r="G288" s="85" t="s">
        <v>25</v>
      </c>
      <c r="H288" s="86">
        <v>46218</v>
      </c>
      <c r="I288" s="85">
        <v>615000</v>
      </c>
      <c r="J288" s="85">
        <v>2</v>
      </c>
    </row>
    <row r="289" spans="1:10" ht="16" customHeight="1">
      <c r="A289" s="85">
        <v>3101288</v>
      </c>
      <c r="B289" s="85" t="s">
        <v>313</v>
      </c>
      <c r="C289" s="85" t="s">
        <v>17</v>
      </c>
      <c r="D289" s="85" t="s">
        <v>12</v>
      </c>
      <c r="E289" s="85" t="s">
        <v>303</v>
      </c>
      <c r="F289" s="85" t="s">
        <v>14</v>
      </c>
      <c r="G289" s="85" t="s">
        <v>256</v>
      </c>
      <c r="H289" s="86">
        <v>46269</v>
      </c>
      <c r="I289" s="85">
        <v>655000</v>
      </c>
      <c r="J289" s="85">
        <v>2</v>
      </c>
    </row>
    <row r="290" spans="1:10" ht="16" customHeight="1">
      <c r="A290" s="85">
        <v>3101289</v>
      </c>
      <c r="B290" s="85" t="s">
        <v>262</v>
      </c>
      <c r="C290" s="85" t="s">
        <v>17</v>
      </c>
      <c r="D290" s="85" t="s">
        <v>12</v>
      </c>
      <c r="E290" s="85" t="s">
        <v>13</v>
      </c>
      <c r="F290" s="85" t="s">
        <v>24</v>
      </c>
      <c r="G290" s="85" t="s">
        <v>21</v>
      </c>
      <c r="H290" s="86">
        <v>46291</v>
      </c>
      <c r="I290" s="85">
        <v>390000</v>
      </c>
      <c r="J290" s="85">
        <v>5</v>
      </c>
    </row>
    <row r="291" spans="1:10" ht="16" customHeight="1">
      <c r="A291" s="85">
        <v>3101290</v>
      </c>
      <c r="B291" s="85" t="s">
        <v>45</v>
      </c>
      <c r="C291" s="85" t="s">
        <v>17</v>
      </c>
      <c r="D291" s="85" t="s">
        <v>18</v>
      </c>
      <c r="E291" s="85" t="s">
        <v>19</v>
      </c>
      <c r="F291" s="85" t="s">
        <v>14</v>
      </c>
      <c r="G291" s="85" t="s">
        <v>21</v>
      </c>
      <c r="H291" s="86">
        <v>46229</v>
      </c>
      <c r="I291" s="85">
        <v>320000</v>
      </c>
      <c r="J291" s="85">
        <v>1</v>
      </c>
    </row>
    <row r="292" spans="1:10" ht="16" customHeight="1">
      <c r="A292" s="85">
        <v>3101291</v>
      </c>
      <c r="B292" s="85" t="s">
        <v>267</v>
      </c>
      <c r="C292" s="85" t="s">
        <v>27</v>
      </c>
      <c r="D292" s="85" t="s">
        <v>12</v>
      </c>
      <c r="E292" s="85" t="s">
        <v>265</v>
      </c>
      <c r="F292" s="85" t="s">
        <v>20</v>
      </c>
      <c r="G292" s="85" t="s">
        <v>25</v>
      </c>
      <c r="H292" s="86">
        <v>46200</v>
      </c>
      <c r="I292" s="85">
        <v>640000</v>
      </c>
      <c r="J292" s="85">
        <v>5</v>
      </c>
    </row>
    <row r="293" spans="1:10" ht="16" customHeight="1">
      <c r="A293" s="85">
        <v>3101292</v>
      </c>
      <c r="B293" s="85" t="s">
        <v>302</v>
      </c>
      <c r="C293" s="85" t="s">
        <v>264</v>
      </c>
      <c r="D293" s="85" t="s">
        <v>12</v>
      </c>
      <c r="E293" s="85" t="s">
        <v>23</v>
      </c>
      <c r="F293" s="85" t="s">
        <v>20</v>
      </c>
      <c r="G293" s="85" t="s">
        <v>21</v>
      </c>
      <c r="H293" s="86">
        <v>46218</v>
      </c>
      <c r="I293" s="85">
        <v>590000</v>
      </c>
      <c r="J293" s="85">
        <v>1</v>
      </c>
    </row>
    <row r="294" spans="1:10" ht="16" customHeight="1">
      <c r="A294" s="85">
        <v>3101293</v>
      </c>
      <c r="B294" s="85" t="s">
        <v>301</v>
      </c>
      <c r="C294" s="85" t="s">
        <v>260</v>
      </c>
      <c r="D294" s="85" t="s">
        <v>12</v>
      </c>
      <c r="E294" s="85" t="s">
        <v>261</v>
      </c>
      <c r="F294" s="85" t="s">
        <v>14</v>
      </c>
      <c r="G294" s="85" t="s">
        <v>21</v>
      </c>
      <c r="H294" s="86">
        <v>46213</v>
      </c>
      <c r="I294" s="85">
        <v>580000</v>
      </c>
      <c r="J294" s="85">
        <v>4</v>
      </c>
    </row>
    <row r="295" spans="1:10" ht="16" customHeight="1">
      <c r="A295" s="85">
        <v>3101294</v>
      </c>
      <c r="B295" s="85" t="s">
        <v>266</v>
      </c>
      <c r="C295" s="85" t="s">
        <v>258</v>
      </c>
      <c r="D295" s="85" t="s">
        <v>12</v>
      </c>
      <c r="E295" s="85" t="s">
        <v>303</v>
      </c>
      <c r="F295" s="85" t="s">
        <v>34</v>
      </c>
      <c r="G295" s="85" t="s">
        <v>21</v>
      </c>
      <c r="H295" s="86">
        <v>46235</v>
      </c>
      <c r="I295" s="85">
        <v>585000</v>
      </c>
      <c r="J295" s="85">
        <v>3</v>
      </c>
    </row>
    <row r="296" spans="1:10" ht="16" customHeight="1">
      <c r="A296" s="85">
        <v>3101295</v>
      </c>
      <c r="B296" s="85" t="s">
        <v>49</v>
      </c>
      <c r="C296" s="85" t="s">
        <v>27</v>
      </c>
      <c r="D296" s="85" t="s">
        <v>18</v>
      </c>
      <c r="E296" s="85" t="s">
        <v>19</v>
      </c>
      <c r="F296" s="85" t="s">
        <v>34</v>
      </c>
      <c r="G296" s="85" t="s">
        <v>21</v>
      </c>
      <c r="H296" s="86">
        <v>46256</v>
      </c>
      <c r="I296" s="85">
        <v>465000</v>
      </c>
      <c r="J296" s="85">
        <v>0</v>
      </c>
    </row>
    <row r="297" spans="1:10" ht="16" customHeight="1">
      <c r="A297" s="85">
        <v>3101296</v>
      </c>
      <c r="B297" s="85" t="s">
        <v>306</v>
      </c>
      <c r="C297" s="85" t="s">
        <v>38</v>
      </c>
      <c r="D297" s="85" t="s">
        <v>12</v>
      </c>
      <c r="E297" s="85" t="s">
        <v>261</v>
      </c>
      <c r="F297" s="85" t="s">
        <v>14</v>
      </c>
      <c r="G297" s="85" t="s">
        <v>25</v>
      </c>
      <c r="H297" s="86">
        <v>46247</v>
      </c>
      <c r="I297" s="85">
        <v>485000</v>
      </c>
      <c r="J297" s="85">
        <v>0</v>
      </c>
    </row>
    <row r="298" spans="1:10" ht="16" customHeight="1">
      <c r="A298" s="85">
        <v>3101297</v>
      </c>
      <c r="B298" s="85" t="s">
        <v>253</v>
      </c>
      <c r="C298" s="85" t="s">
        <v>268</v>
      </c>
      <c r="D298" s="85" t="s">
        <v>12</v>
      </c>
      <c r="E298" s="85" t="s">
        <v>303</v>
      </c>
      <c r="F298" s="85" t="s">
        <v>14</v>
      </c>
      <c r="G298" s="85" t="s">
        <v>21</v>
      </c>
      <c r="H298" s="86">
        <v>46218</v>
      </c>
      <c r="I298" s="85">
        <v>765000</v>
      </c>
      <c r="J298" s="85">
        <v>1</v>
      </c>
    </row>
    <row r="299" spans="1:10" ht="16" customHeight="1">
      <c r="A299" s="85">
        <v>3101298</v>
      </c>
      <c r="B299" s="85" t="s">
        <v>309</v>
      </c>
      <c r="C299" s="85" t="s">
        <v>17</v>
      </c>
      <c r="D299" s="85" t="s">
        <v>32</v>
      </c>
      <c r="E299" s="85" t="s">
        <v>33</v>
      </c>
      <c r="F299" s="85" t="s">
        <v>34</v>
      </c>
      <c r="G299" s="85" t="s">
        <v>25</v>
      </c>
      <c r="H299" s="86">
        <v>46208</v>
      </c>
      <c r="I299" s="85">
        <v>425000</v>
      </c>
      <c r="J299" s="85">
        <v>0</v>
      </c>
    </row>
    <row r="300" spans="1:10" ht="16" customHeight="1">
      <c r="A300" s="85">
        <v>3101299</v>
      </c>
      <c r="B300" s="85" t="s">
        <v>305</v>
      </c>
      <c r="C300" s="85" t="s">
        <v>260</v>
      </c>
      <c r="D300" s="85" t="s">
        <v>12</v>
      </c>
      <c r="E300" s="85" t="s">
        <v>265</v>
      </c>
      <c r="F300" s="85" t="s">
        <v>14</v>
      </c>
      <c r="G300" s="85" t="s">
        <v>21</v>
      </c>
      <c r="H300" s="86">
        <v>46262</v>
      </c>
      <c r="I300" s="85">
        <v>680000</v>
      </c>
      <c r="J300" s="85">
        <v>3</v>
      </c>
    </row>
    <row r="301" spans="1:10" ht="16" customHeight="1">
      <c r="A301" s="85">
        <v>3101300</v>
      </c>
      <c r="B301" s="85" t="s">
        <v>309</v>
      </c>
      <c r="C301" s="85" t="s">
        <v>38</v>
      </c>
      <c r="D301" s="85" t="s">
        <v>32</v>
      </c>
      <c r="E301" s="85" t="s">
        <v>33</v>
      </c>
      <c r="F301" s="85" t="s">
        <v>20</v>
      </c>
      <c r="G301" s="85" t="s">
        <v>25</v>
      </c>
      <c r="H301" s="86">
        <v>46163</v>
      </c>
      <c r="I301" s="85">
        <v>280000</v>
      </c>
      <c r="J301" s="85">
        <v>4</v>
      </c>
    </row>
    <row r="302" spans="1:10" ht="16" customHeight="1">
      <c r="A302" s="85">
        <v>3101301</v>
      </c>
      <c r="B302" s="85" t="s">
        <v>283</v>
      </c>
      <c r="C302" s="85" t="s">
        <v>260</v>
      </c>
      <c r="D302" s="85" t="s">
        <v>12</v>
      </c>
      <c r="E302" s="85" t="s">
        <v>23</v>
      </c>
      <c r="F302" s="85" t="s">
        <v>20</v>
      </c>
      <c r="G302" s="85" t="s">
        <v>256</v>
      </c>
      <c r="H302" s="86">
        <v>46204</v>
      </c>
      <c r="I302" s="85">
        <v>580000</v>
      </c>
      <c r="J302" s="85">
        <v>5</v>
      </c>
    </row>
    <row r="303" spans="1:10" ht="16" customHeight="1">
      <c r="A303" s="85">
        <v>3101302</v>
      </c>
      <c r="B303" s="85" t="s">
        <v>266</v>
      </c>
      <c r="C303" s="85" t="s">
        <v>258</v>
      </c>
      <c r="D303" s="85" t="s">
        <v>18</v>
      </c>
      <c r="E303" s="85" t="s">
        <v>39</v>
      </c>
      <c r="F303" s="85" t="s">
        <v>34</v>
      </c>
      <c r="G303" s="85" t="s">
        <v>21</v>
      </c>
      <c r="H303" s="86">
        <v>46203</v>
      </c>
      <c r="I303" s="85">
        <v>405000</v>
      </c>
      <c r="J303" s="85">
        <v>0</v>
      </c>
    </row>
    <row r="304" spans="1:10" ht="16" customHeight="1">
      <c r="A304" s="85">
        <v>3101303</v>
      </c>
      <c r="B304" s="85" t="s">
        <v>289</v>
      </c>
      <c r="C304" s="85" t="s">
        <v>264</v>
      </c>
      <c r="D304" s="85" t="s">
        <v>12</v>
      </c>
      <c r="E304" s="85" t="s">
        <v>261</v>
      </c>
      <c r="F304" s="85" t="s">
        <v>20</v>
      </c>
      <c r="G304" s="85" t="s">
        <v>256</v>
      </c>
      <c r="H304" s="86">
        <v>46173</v>
      </c>
      <c r="I304" s="85">
        <v>435000</v>
      </c>
      <c r="J304" s="85">
        <v>4</v>
      </c>
    </row>
    <row r="305" spans="1:10" ht="16" customHeight="1">
      <c r="A305" s="85">
        <v>3101304</v>
      </c>
      <c r="B305" s="85" t="s">
        <v>296</v>
      </c>
      <c r="C305" s="85" t="s">
        <v>264</v>
      </c>
      <c r="D305" s="85" t="s">
        <v>28</v>
      </c>
      <c r="E305" s="85" t="s">
        <v>29</v>
      </c>
      <c r="F305" s="85" t="s">
        <v>20</v>
      </c>
      <c r="G305" s="85" t="s">
        <v>21</v>
      </c>
      <c r="H305" s="86">
        <v>46271</v>
      </c>
      <c r="I305" s="85">
        <v>385000</v>
      </c>
      <c r="J305" s="85">
        <v>1</v>
      </c>
    </row>
    <row r="306" spans="1:10" ht="16" customHeight="1">
      <c r="A306" s="85">
        <v>3101305</v>
      </c>
      <c r="B306" s="85" t="s">
        <v>309</v>
      </c>
      <c r="C306" s="85" t="s">
        <v>258</v>
      </c>
      <c r="D306" s="85" t="s">
        <v>12</v>
      </c>
      <c r="E306" s="85" t="s">
        <v>261</v>
      </c>
      <c r="F306" s="85" t="s">
        <v>14</v>
      </c>
      <c r="G306" s="85" t="s">
        <v>15</v>
      </c>
      <c r="H306" s="86">
        <v>46182</v>
      </c>
      <c r="I306" s="85">
        <v>475000</v>
      </c>
      <c r="J306" s="85">
        <v>0</v>
      </c>
    </row>
    <row r="307" spans="1:10" ht="16" customHeight="1">
      <c r="A307" s="85">
        <v>3101306</v>
      </c>
      <c r="B307" s="85" t="s">
        <v>269</v>
      </c>
      <c r="C307" s="85" t="s">
        <v>264</v>
      </c>
      <c r="D307" s="85" t="s">
        <v>12</v>
      </c>
      <c r="E307" s="85" t="s">
        <v>36</v>
      </c>
      <c r="F307" s="85" t="s">
        <v>34</v>
      </c>
      <c r="G307" s="85" t="s">
        <v>256</v>
      </c>
      <c r="H307" s="86">
        <v>46150</v>
      </c>
      <c r="I307" s="85">
        <v>735000</v>
      </c>
      <c r="J307" s="85">
        <v>1</v>
      </c>
    </row>
    <row r="308" spans="1:10" ht="16" customHeight="1">
      <c r="A308" s="85">
        <v>3101307</v>
      </c>
      <c r="B308" s="85" t="s">
        <v>301</v>
      </c>
      <c r="C308" s="85" t="s">
        <v>268</v>
      </c>
      <c r="D308" s="85" t="s">
        <v>18</v>
      </c>
      <c r="E308" s="85" t="s">
        <v>19</v>
      </c>
      <c r="F308" s="85" t="s">
        <v>14</v>
      </c>
      <c r="G308" s="85" t="s">
        <v>256</v>
      </c>
      <c r="H308" s="86">
        <v>46241</v>
      </c>
      <c r="I308" s="85">
        <v>460000</v>
      </c>
      <c r="J308" s="85">
        <v>4</v>
      </c>
    </row>
    <row r="309" spans="1:10" ht="16" customHeight="1">
      <c r="A309" s="85">
        <v>3101308</v>
      </c>
      <c r="B309" s="85" t="s">
        <v>312</v>
      </c>
      <c r="C309" s="85" t="s">
        <v>260</v>
      </c>
      <c r="D309" s="85" t="s">
        <v>18</v>
      </c>
      <c r="E309" s="85" t="s">
        <v>39</v>
      </c>
      <c r="F309" s="85" t="s">
        <v>20</v>
      </c>
      <c r="G309" s="85" t="s">
        <v>25</v>
      </c>
      <c r="H309" s="86">
        <v>46175</v>
      </c>
      <c r="I309" s="85">
        <v>510000</v>
      </c>
      <c r="J309" s="85">
        <v>3</v>
      </c>
    </row>
    <row r="310" spans="1:10" ht="16" customHeight="1">
      <c r="A310" s="85">
        <v>3101309</v>
      </c>
      <c r="B310" s="85" t="s">
        <v>299</v>
      </c>
      <c r="C310" s="85" t="s">
        <v>264</v>
      </c>
      <c r="D310" s="85" t="s">
        <v>12</v>
      </c>
      <c r="E310" s="85" t="s">
        <v>303</v>
      </c>
      <c r="F310" s="85" t="s">
        <v>20</v>
      </c>
      <c r="G310" s="85" t="s">
        <v>21</v>
      </c>
      <c r="H310" s="86">
        <v>46254</v>
      </c>
      <c r="I310" s="85">
        <v>735000</v>
      </c>
      <c r="J310" s="85">
        <v>0</v>
      </c>
    </row>
    <row r="311" spans="1:10" ht="16" customHeight="1">
      <c r="A311" s="85">
        <v>3101310</v>
      </c>
      <c r="B311" s="85" t="s">
        <v>257</v>
      </c>
      <c r="C311" s="85" t="s">
        <v>260</v>
      </c>
      <c r="D311" s="85" t="s">
        <v>32</v>
      </c>
      <c r="E311" s="85" t="s">
        <v>33</v>
      </c>
      <c r="F311" s="85" t="s">
        <v>24</v>
      </c>
      <c r="G311" s="85" t="s">
        <v>256</v>
      </c>
      <c r="H311" s="86">
        <v>46250</v>
      </c>
      <c r="I311" s="85">
        <v>295000</v>
      </c>
      <c r="J311" s="85">
        <v>3</v>
      </c>
    </row>
    <row r="312" spans="1:10" ht="16" customHeight="1">
      <c r="A312" s="85">
        <v>3101311</v>
      </c>
      <c r="B312" s="85" t="s">
        <v>312</v>
      </c>
      <c r="C312" s="85" t="s">
        <v>264</v>
      </c>
      <c r="D312" s="85" t="s">
        <v>12</v>
      </c>
      <c r="E312" s="85" t="s">
        <v>265</v>
      </c>
      <c r="F312" s="85" t="s">
        <v>14</v>
      </c>
      <c r="G312" s="85" t="s">
        <v>21</v>
      </c>
      <c r="H312" s="86">
        <v>46192</v>
      </c>
      <c r="I312" s="85">
        <v>590000</v>
      </c>
      <c r="J312" s="85">
        <v>2</v>
      </c>
    </row>
    <row r="313" spans="1:10" ht="16" customHeight="1">
      <c r="A313" s="85">
        <v>3101312</v>
      </c>
      <c r="B313" s="85" t="s">
        <v>299</v>
      </c>
      <c r="C313" s="85" t="s">
        <v>17</v>
      </c>
      <c r="D313" s="85" t="s">
        <v>28</v>
      </c>
      <c r="E313" s="85" t="s">
        <v>297</v>
      </c>
      <c r="F313" s="85" t="s">
        <v>20</v>
      </c>
      <c r="G313" s="85" t="s">
        <v>21</v>
      </c>
      <c r="H313" s="86">
        <v>46196</v>
      </c>
      <c r="I313" s="85">
        <v>580000</v>
      </c>
      <c r="J313" s="85">
        <v>3</v>
      </c>
    </row>
    <row r="314" spans="1:10" ht="16" customHeight="1">
      <c r="A314" s="85">
        <v>3101313</v>
      </c>
      <c r="B314" s="85" t="s">
        <v>271</v>
      </c>
      <c r="C314" s="85" t="s">
        <v>11</v>
      </c>
      <c r="D314" s="85" t="s">
        <v>12</v>
      </c>
      <c r="E314" s="85" t="s">
        <v>265</v>
      </c>
      <c r="F314" s="85" t="s">
        <v>24</v>
      </c>
      <c r="G314" s="85" t="s">
        <v>15</v>
      </c>
      <c r="H314" s="86">
        <v>46290</v>
      </c>
      <c r="I314" s="85">
        <v>680000</v>
      </c>
      <c r="J314" s="85">
        <v>0</v>
      </c>
    </row>
    <row r="315" spans="1:10" ht="16" customHeight="1">
      <c r="A315" s="85">
        <v>3101314</v>
      </c>
      <c r="B315" s="85" t="s">
        <v>45</v>
      </c>
      <c r="C315" s="85" t="s">
        <v>27</v>
      </c>
      <c r="D315" s="85" t="s">
        <v>18</v>
      </c>
      <c r="E315" s="85" t="s">
        <v>39</v>
      </c>
      <c r="F315" s="85" t="s">
        <v>14</v>
      </c>
      <c r="G315" s="85" t="s">
        <v>15</v>
      </c>
      <c r="H315" s="86">
        <v>46228</v>
      </c>
      <c r="I315" s="85">
        <v>425000</v>
      </c>
      <c r="J315" s="85">
        <v>3</v>
      </c>
    </row>
    <row r="316" spans="1:10" ht="16" customHeight="1">
      <c r="A316" s="85">
        <v>3101315</v>
      </c>
      <c r="B316" s="85" t="s">
        <v>274</v>
      </c>
      <c r="C316" s="85" t="s">
        <v>264</v>
      </c>
      <c r="D316" s="85" t="s">
        <v>18</v>
      </c>
      <c r="E316" s="85" t="s">
        <v>19</v>
      </c>
      <c r="F316" s="85" t="s">
        <v>14</v>
      </c>
      <c r="G316" s="85" t="s">
        <v>21</v>
      </c>
      <c r="H316" s="86">
        <v>46270</v>
      </c>
      <c r="I316" s="85">
        <v>460000</v>
      </c>
      <c r="J316" s="85">
        <v>3</v>
      </c>
    </row>
    <row r="317" spans="1:10" ht="16" customHeight="1">
      <c r="A317" s="85">
        <v>3101316</v>
      </c>
      <c r="B317" s="85" t="s">
        <v>282</v>
      </c>
      <c r="C317" s="85" t="s">
        <v>260</v>
      </c>
      <c r="D317" s="85" t="s">
        <v>12</v>
      </c>
      <c r="E317" s="85" t="s">
        <v>303</v>
      </c>
      <c r="F317" s="85" t="s">
        <v>20</v>
      </c>
      <c r="G317" s="85" t="s">
        <v>25</v>
      </c>
      <c r="H317" s="86">
        <v>46152</v>
      </c>
      <c r="I317" s="85">
        <v>745000</v>
      </c>
      <c r="J317" s="85">
        <v>0</v>
      </c>
    </row>
    <row r="318" spans="1:10" ht="16" customHeight="1">
      <c r="A318" s="85">
        <v>3101317</v>
      </c>
      <c r="B318" s="85" t="s">
        <v>44</v>
      </c>
      <c r="C318" s="85" t="s">
        <v>38</v>
      </c>
      <c r="D318" s="85" t="s">
        <v>32</v>
      </c>
      <c r="E318" s="85" t="s">
        <v>300</v>
      </c>
      <c r="F318" s="85" t="s">
        <v>24</v>
      </c>
      <c r="G318" s="85" t="s">
        <v>15</v>
      </c>
      <c r="H318" s="86">
        <v>46167</v>
      </c>
      <c r="I318" s="85">
        <v>415000</v>
      </c>
      <c r="J318" s="85">
        <v>3</v>
      </c>
    </row>
    <row r="319" spans="1:10" ht="16" customHeight="1">
      <c r="A319" s="85">
        <v>3101318</v>
      </c>
      <c r="B319" s="85" t="s">
        <v>271</v>
      </c>
      <c r="C319" s="85" t="s">
        <v>264</v>
      </c>
      <c r="D319" s="85" t="s">
        <v>12</v>
      </c>
      <c r="E319" s="85" t="s">
        <v>23</v>
      </c>
      <c r="F319" s="85" t="s">
        <v>34</v>
      </c>
      <c r="G319" s="85" t="s">
        <v>15</v>
      </c>
      <c r="H319" s="86">
        <v>46175</v>
      </c>
      <c r="I319" s="85">
        <v>625000</v>
      </c>
      <c r="J319" s="85">
        <v>0</v>
      </c>
    </row>
    <row r="320" spans="1:10" ht="16" customHeight="1">
      <c r="A320" s="85">
        <v>3101319</v>
      </c>
      <c r="B320" s="85" t="s">
        <v>174</v>
      </c>
      <c r="C320" s="85" t="s">
        <v>268</v>
      </c>
      <c r="D320" s="85" t="s">
        <v>32</v>
      </c>
      <c r="E320" s="85" t="s">
        <v>33</v>
      </c>
      <c r="F320" s="85" t="s">
        <v>20</v>
      </c>
      <c r="G320" s="85" t="s">
        <v>15</v>
      </c>
      <c r="H320" s="86">
        <v>46248</v>
      </c>
      <c r="I320" s="85">
        <v>375000</v>
      </c>
      <c r="J320" s="85">
        <v>3</v>
      </c>
    </row>
    <row r="321" spans="1:10" ht="16" customHeight="1">
      <c r="A321" s="85">
        <v>3101320</v>
      </c>
      <c r="B321" s="85" t="s">
        <v>298</v>
      </c>
      <c r="C321" s="85" t="s">
        <v>17</v>
      </c>
      <c r="D321" s="85" t="s">
        <v>12</v>
      </c>
      <c r="E321" s="85" t="s">
        <v>261</v>
      </c>
      <c r="F321" s="85" t="s">
        <v>20</v>
      </c>
      <c r="G321" s="85" t="s">
        <v>15</v>
      </c>
      <c r="H321" s="86">
        <v>46202</v>
      </c>
      <c r="I321" s="85">
        <v>470000</v>
      </c>
      <c r="J321" s="85">
        <v>0</v>
      </c>
    </row>
    <row r="322" spans="1:10" ht="16" customHeight="1">
      <c r="A322" s="85">
        <v>3101321</v>
      </c>
      <c r="B322" s="85" t="s">
        <v>269</v>
      </c>
      <c r="C322" s="85" t="s">
        <v>264</v>
      </c>
      <c r="D322" s="85" t="s">
        <v>12</v>
      </c>
      <c r="E322" s="85" t="s">
        <v>36</v>
      </c>
      <c r="F322" s="85" t="s">
        <v>20</v>
      </c>
      <c r="G322" s="85" t="s">
        <v>21</v>
      </c>
      <c r="H322" s="86">
        <v>46202</v>
      </c>
      <c r="I322" s="85">
        <v>785000</v>
      </c>
      <c r="J322" s="85">
        <v>1</v>
      </c>
    </row>
    <row r="323" spans="1:10" ht="16" customHeight="1">
      <c r="A323" s="85">
        <v>3101322</v>
      </c>
      <c r="B323" s="85" t="s">
        <v>269</v>
      </c>
      <c r="C323" s="85" t="s">
        <v>260</v>
      </c>
      <c r="D323" s="85" t="s">
        <v>12</v>
      </c>
      <c r="E323" s="85" t="s">
        <v>13</v>
      </c>
      <c r="F323" s="85" t="s">
        <v>34</v>
      </c>
      <c r="G323" s="85" t="s">
        <v>15</v>
      </c>
      <c r="H323" s="86">
        <v>46155</v>
      </c>
      <c r="I323" s="85">
        <v>625000</v>
      </c>
      <c r="J323" s="85">
        <v>4</v>
      </c>
    </row>
    <row r="324" spans="1:10" ht="16" customHeight="1">
      <c r="A324" s="85">
        <v>3101323</v>
      </c>
      <c r="B324" s="85" t="s">
        <v>306</v>
      </c>
      <c r="C324" s="85" t="s">
        <v>260</v>
      </c>
      <c r="D324" s="85" t="s">
        <v>12</v>
      </c>
      <c r="E324" s="85" t="s">
        <v>36</v>
      </c>
      <c r="F324" s="85" t="s">
        <v>24</v>
      </c>
      <c r="G324" s="85" t="s">
        <v>21</v>
      </c>
      <c r="H324" s="86">
        <v>46197</v>
      </c>
      <c r="I324" s="85">
        <v>690000</v>
      </c>
      <c r="J324" s="85">
        <v>0</v>
      </c>
    </row>
    <row r="325" spans="1:10" ht="16" customHeight="1">
      <c r="A325" s="85">
        <v>3101324</v>
      </c>
      <c r="B325" s="85" t="s">
        <v>255</v>
      </c>
      <c r="C325" s="85" t="s">
        <v>38</v>
      </c>
      <c r="D325" s="85" t="s">
        <v>12</v>
      </c>
      <c r="E325" s="85" t="s">
        <v>303</v>
      </c>
      <c r="F325" s="85" t="s">
        <v>14</v>
      </c>
      <c r="G325" s="85" t="s">
        <v>256</v>
      </c>
      <c r="H325" s="86">
        <v>46276</v>
      </c>
      <c r="I325" s="85">
        <v>825000</v>
      </c>
      <c r="J325" s="85">
        <v>1</v>
      </c>
    </row>
    <row r="326" spans="1:10" ht="16" customHeight="1">
      <c r="A326" s="85">
        <v>3101325</v>
      </c>
      <c r="B326" s="85" t="s">
        <v>100</v>
      </c>
      <c r="C326" s="85" t="s">
        <v>260</v>
      </c>
      <c r="D326" s="85" t="s">
        <v>32</v>
      </c>
      <c r="E326" s="85" t="s">
        <v>300</v>
      </c>
      <c r="F326" s="85" t="s">
        <v>34</v>
      </c>
      <c r="G326" s="85" t="s">
        <v>25</v>
      </c>
      <c r="H326" s="86">
        <v>46217</v>
      </c>
      <c r="I326" s="85">
        <v>290000</v>
      </c>
      <c r="J326" s="85">
        <v>2</v>
      </c>
    </row>
    <row r="327" spans="1:10" ht="16" customHeight="1">
      <c r="A327" s="85">
        <v>3101326</v>
      </c>
      <c r="B327" s="85" t="s">
        <v>49</v>
      </c>
      <c r="C327" s="85" t="s">
        <v>258</v>
      </c>
      <c r="D327" s="85" t="s">
        <v>28</v>
      </c>
      <c r="E327" s="85" t="s">
        <v>29</v>
      </c>
      <c r="F327" s="85" t="s">
        <v>24</v>
      </c>
      <c r="G327" s="85" t="s">
        <v>256</v>
      </c>
      <c r="H327" s="86">
        <v>46265</v>
      </c>
      <c r="I327" s="85">
        <v>340000</v>
      </c>
      <c r="J327" s="85">
        <v>0</v>
      </c>
    </row>
    <row r="328" spans="1:10" ht="16" customHeight="1">
      <c r="A328" s="85">
        <v>3101327</v>
      </c>
      <c r="B328" s="85" t="s">
        <v>257</v>
      </c>
      <c r="C328" s="85" t="s">
        <v>27</v>
      </c>
      <c r="D328" s="85" t="s">
        <v>12</v>
      </c>
      <c r="E328" s="85" t="s">
        <v>13</v>
      </c>
      <c r="F328" s="85" t="s">
        <v>34</v>
      </c>
      <c r="G328" s="85" t="s">
        <v>25</v>
      </c>
      <c r="H328" s="86">
        <v>46246</v>
      </c>
      <c r="I328" s="85">
        <v>400000</v>
      </c>
      <c r="J328" s="85">
        <v>2</v>
      </c>
    </row>
    <row r="329" spans="1:10" ht="16" customHeight="1">
      <c r="A329" s="85">
        <v>3101328</v>
      </c>
      <c r="B329" s="85" t="s">
        <v>305</v>
      </c>
      <c r="C329" s="85" t="s">
        <v>258</v>
      </c>
      <c r="D329" s="85" t="s">
        <v>12</v>
      </c>
      <c r="E329" s="85" t="s">
        <v>36</v>
      </c>
      <c r="F329" s="85" t="s">
        <v>20</v>
      </c>
      <c r="G329" s="85" t="s">
        <v>256</v>
      </c>
      <c r="H329" s="86">
        <v>46231</v>
      </c>
      <c r="I329" s="85">
        <v>650000</v>
      </c>
      <c r="J329" s="85">
        <v>4</v>
      </c>
    </row>
    <row r="330" spans="1:10" ht="16" customHeight="1">
      <c r="A330" s="85">
        <v>3101329</v>
      </c>
      <c r="B330" s="85" t="s">
        <v>288</v>
      </c>
      <c r="C330" s="85" t="s">
        <v>11</v>
      </c>
      <c r="D330" s="85" t="s">
        <v>12</v>
      </c>
      <c r="E330" s="85" t="s">
        <v>36</v>
      </c>
      <c r="F330" s="85" t="s">
        <v>20</v>
      </c>
      <c r="G330" s="85" t="s">
        <v>25</v>
      </c>
      <c r="H330" s="86">
        <v>46157</v>
      </c>
      <c r="I330" s="85">
        <v>730000</v>
      </c>
      <c r="J330" s="85">
        <v>5</v>
      </c>
    </row>
    <row r="331" spans="1:10" ht="16" customHeight="1">
      <c r="A331" s="85">
        <v>3101330</v>
      </c>
      <c r="B331" s="85" t="s">
        <v>292</v>
      </c>
      <c r="C331" s="85" t="s">
        <v>258</v>
      </c>
      <c r="D331" s="85" t="s">
        <v>12</v>
      </c>
      <c r="E331" s="85" t="s">
        <v>303</v>
      </c>
      <c r="F331" s="85" t="s">
        <v>34</v>
      </c>
      <c r="G331" s="85" t="s">
        <v>21</v>
      </c>
      <c r="H331" s="86">
        <v>46227</v>
      </c>
      <c r="I331" s="85">
        <v>555000</v>
      </c>
      <c r="J331" s="85">
        <v>2</v>
      </c>
    </row>
    <row r="332" spans="1:10" ht="16" customHeight="1">
      <c r="A332" s="85">
        <v>3101331</v>
      </c>
      <c r="B332" s="85" t="s">
        <v>47</v>
      </c>
      <c r="C332" s="85" t="s">
        <v>11</v>
      </c>
      <c r="D332" s="85" t="s">
        <v>12</v>
      </c>
      <c r="E332" s="85" t="s">
        <v>13</v>
      </c>
      <c r="F332" s="85" t="s">
        <v>14</v>
      </c>
      <c r="G332" s="85" t="s">
        <v>21</v>
      </c>
      <c r="H332" s="86">
        <v>46224</v>
      </c>
      <c r="I332" s="85">
        <v>480000</v>
      </c>
      <c r="J332" s="85">
        <v>3</v>
      </c>
    </row>
    <row r="333" spans="1:10" ht="16" customHeight="1">
      <c r="A333" s="85">
        <v>3101332</v>
      </c>
      <c r="B333" s="85" t="s">
        <v>257</v>
      </c>
      <c r="C333" s="85" t="s">
        <v>264</v>
      </c>
      <c r="D333" s="85" t="s">
        <v>28</v>
      </c>
      <c r="E333" s="85" t="s">
        <v>297</v>
      </c>
      <c r="F333" s="85" t="s">
        <v>24</v>
      </c>
      <c r="G333" s="85" t="s">
        <v>25</v>
      </c>
      <c r="H333" s="86">
        <v>46197</v>
      </c>
      <c r="I333" s="85">
        <v>545000</v>
      </c>
      <c r="J333" s="85">
        <v>2</v>
      </c>
    </row>
    <row r="334" spans="1:10" ht="16" customHeight="1">
      <c r="A334" s="85">
        <v>3101333</v>
      </c>
      <c r="B334" s="85" t="s">
        <v>272</v>
      </c>
      <c r="C334" s="85" t="s">
        <v>11</v>
      </c>
      <c r="D334" s="85" t="s">
        <v>12</v>
      </c>
      <c r="E334" s="85" t="s">
        <v>36</v>
      </c>
      <c r="F334" s="85" t="s">
        <v>24</v>
      </c>
      <c r="G334" s="85" t="s">
        <v>21</v>
      </c>
      <c r="H334" s="86">
        <v>46232</v>
      </c>
      <c r="I334" s="85">
        <v>890000</v>
      </c>
      <c r="J334" s="85">
        <v>2</v>
      </c>
    </row>
    <row r="335" spans="1:10" ht="16" customHeight="1">
      <c r="A335" s="85">
        <v>3101334</v>
      </c>
      <c r="B335" s="85" t="s">
        <v>274</v>
      </c>
      <c r="C335" s="85" t="s">
        <v>27</v>
      </c>
      <c r="D335" s="85" t="s">
        <v>12</v>
      </c>
      <c r="E335" s="85" t="s">
        <v>265</v>
      </c>
      <c r="F335" s="85" t="s">
        <v>24</v>
      </c>
      <c r="G335" s="85" t="s">
        <v>21</v>
      </c>
      <c r="H335" s="86">
        <v>46213</v>
      </c>
      <c r="I335" s="85">
        <v>400000</v>
      </c>
      <c r="J335" s="85">
        <v>1</v>
      </c>
    </row>
    <row r="336" spans="1:10" ht="16" customHeight="1">
      <c r="A336" s="85">
        <v>3101335</v>
      </c>
      <c r="B336" s="85" t="s">
        <v>282</v>
      </c>
      <c r="C336" s="85" t="s">
        <v>11</v>
      </c>
      <c r="D336" s="85" t="s">
        <v>32</v>
      </c>
      <c r="E336" s="85" t="s">
        <v>300</v>
      </c>
      <c r="F336" s="85" t="s">
        <v>20</v>
      </c>
      <c r="G336" s="85" t="s">
        <v>15</v>
      </c>
      <c r="H336" s="86">
        <v>46177</v>
      </c>
      <c r="I336" s="85">
        <v>405000</v>
      </c>
      <c r="J336" s="85">
        <v>1</v>
      </c>
    </row>
    <row r="337" spans="1:10" ht="16" customHeight="1">
      <c r="A337" s="85">
        <v>3101336</v>
      </c>
      <c r="B337" s="85" t="s">
        <v>302</v>
      </c>
      <c r="C337" s="85" t="s">
        <v>264</v>
      </c>
      <c r="D337" s="85" t="s">
        <v>12</v>
      </c>
      <c r="E337" s="85" t="s">
        <v>303</v>
      </c>
      <c r="F337" s="85" t="s">
        <v>24</v>
      </c>
      <c r="G337" s="85" t="s">
        <v>256</v>
      </c>
      <c r="H337" s="86">
        <v>46224</v>
      </c>
      <c r="I337" s="85">
        <v>650000</v>
      </c>
      <c r="J337" s="85">
        <v>4</v>
      </c>
    </row>
    <row r="338" spans="1:10" ht="16" customHeight="1">
      <c r="A338" s="85">
        <v>3101337</v>
      </c>
      <c r="B338" s="85" t="s">
        <v>287</v>
      </c>
      <c r="C338" s="85" t="s">
        <v>260</v>
      </c>
      <c r="D338" s="85" t="s">
        <v>28</v>
      </c>
      <c r="E338" s="85" t="s">
        <v>297</v>
      </c>
      <c r="F338" s="85" t="s">
        <v>34</v>
      </c>
      <c r="G338" s="85" t="s">
        <v>21</v>
      </c>
      <c r="H338" s="86">
        <v>46234</v>
      </c>
      <c r="I338" s="85">
        <v>570000</v>
      </c>
      <c r="J338" s="85">
        <v>0</v>
      </c>
    </row>
    <row r="339" spans="1:10" ht="16" customHeight="1">
      <c r="A339" s="85">
        <v>3101338</v>
      </c>
      <c r="B339" s="85" t="s">
        <v>252</v>
      </c>
      <c r="C339" s="85" t="s">
        <v>264</v>
      </c>
      <c r="D339" s="85" t="s">
        <v>18</v>
      </c>
      <c r="E339" s="85" t="s">
        <v>39</v>
      </c>
      <c r="F339" s="85" t="s">
        <v>24</v>
      </c>
      <c r="G339" s="85" t="s">
        <v>25</v>
      </c>
      <c r="H339" s="86">
        <v>46187</v>
      </c>
      <c r="I339" s="85">
        <v>490000</v>
      </c>
      <c r="J339" s="85">
        <v>4</v>
      </c>
    </row>
    <row r="340" spans="1:10" ht="16" customHeight="1">
      <c r="A340" s="85">
        <v>3101339</v>
      </c>
      <c r="B340" s="85" t="s">
        <v>281</v>
      </c>
      <c r="C340" s="85" t="s">
        <v>268</v>
      </c>
      <c r="D340" s="85" t="s">
        <v>12</v>
      </c>
      <c r="E340" s="85" t="s">
        <v>13</v>
      </c>
      <c r="F340" s="85" t="s">
        <v>24</v>
      </c>
      <c r="G340" s="85" t="s">
        <v>25</v>
      </c>
      <c r="H340" s="86">
        <v>46168</v>
      </c>
      <c r="I340" s="85">
        <v>440000</v>
      </c>
      <c r="J340" s="85">
        <v>5</v>
      </c>
    </row>
    <row r="341" spans="1:10" ht="16" customHeight="1">
      <c r="A341" s="85">
        <v>3101340</v>
      </c>
      <c r="B341" s="85" t="s">
        <v>302</v>
      </c>
      <c r="C341" s="85" t="s">
        <v>38</v>
      </c>
      <c r="D341" s="85" t="s">
        <v>12</v>
      </c>
      <c r="E341" s="85" t="s">
        <v>13</v>
      </c>
      <c r="F341" s="85" t="s">
        <v>24</v>
      </c>
      <c r="G341" s="85" t="s">
        <v>21</v>
      </c>
      <c r="H341" s="86">
        <v>46181</v>
      </c>
      <c r="I341" s="85">
        <v>540000</v>
      </c>
      <c r="J341" s="85">
        <v>3</v>
      </c>
    </row>
    <row r="342" spans="1:10" ht="16" customHeight="1">
      <c r="A342" s="85">
        <v>3101341</v>
      </c>
      <c r="B342" s="85" t="s">
        <v>280</v>
      </c>
      <c r="C342" s="85" t="s">
        <v>264</v>
      </c>
      <c r="D342" s="85" t="s">
        <v>28</v>
      </c>
      <c r="E342" s="85" t="s">
        <v>297</v>
      </c>
      <c r="F342" s="85" t="s">
        <v>20</v>
      </c>
      <c r="G342" s="85" t="s">
        <v>15</v>
      </c>
      <c r="H342" s="86">
        <v>46174</v>
      </c>
      <c r="I342" s="85">
        <v>635000</v>
      </c>
      <c r="J342" s="85">
        <v>5</v>
      </c>
    </row>
    <row r="343" spans="1:10" ht="16" customHeight="1">
      <c r="A343" s="85">
        <v>3101342</v>
      </c>
      <c r="B343" s="85" t="s">
        <v>255</v>
      </c>
      <c r="C343" s="85" t="s">
        <v>268</v>
      </c>
      <c r="D343" s="85" t="s">
        <v>28</v>
      </c>
      <c r="E343" s="85" t="s">
        <v>29</v>
      </c>
      <c r="F343" s="85" t="s">
        <v>14</v>
      </c>
      <c r="G343" s="85" t="s">
        <v>15</v>
      </c>
      <c r="H343" s="86">
        <v>46206</v>
      </c>
      <c r="I343" s="85">
        <v>475000</v>
      </c>
      <c r="J343" s="85">
        <v>4</v>
      </c>
    </row>
    <row r="344" spans="1:10" ht="16" customHeight="1">
      <c r="A344" s="85">
        <v>3101343</v>
      </c>
      <c r="B344" s="85" t="s">
        <v>276</v>
      </c>
      <c r="C344" s="85" t="s">
        <v>264</v>
      </c>
      <c r="D344" s="85" t="s">
        <v>28</v>
      </c>
      <c r="E344" s="85" t="s">
        <v>297</v>
      </c>
      <c r="F344" s="85" t="s">
        <v>34</v>
      </c>
      <c r="G344" s="85" t="s">
        <v>25</v>
      </c>
      <c r="H344" s="86">
        <v>46261</v>
      </c>
      <c r="I344" s="85">
        <v>610000</v>
      </c>
      <c r="J344" s="85">
        <v>0</v>
      </c>
    </row>
    <row r="345" spans="1:10" ht="16" customHeight="1">
      <c r="A345" s="85">
        <v>3101344</v>
      </c>
      <c r="B345" s="85" t="s">
        <v>304</v>
      </c>
      <c r="C345" s="85" t="s">
        <v>38</v>
      </c>
      <c r="D345" s="85" t="s">
        <v>12</v>
      </c>
      <c r="E345" s="85" t="s">
        <v>13</v>
      </c>
      <c r="F345" s="85" t="s">
        <v>14</v>
      </c>
      <c r="G345" s="85" t="s">
        <v>25</v>
      </c>
      <c r="H345" s="86">
        <v>46282</v>
      </c>
      <c r="I345" s="85">
        <v>430000</v>
      </c>
      <c r="J345" s="85">
        <v>3</v>
      </c>
    </row>
    <row r="346" spans="1:10" ht="16" customHeight="1">
      <c r="A346" s="85">
        <v>3101345</v>
      </c>
      <c r="B346" s="85" t="s">
        <v>296</v>
      </c>
      <c r="C346" s="85" t="s">
        <v>268</v>
      </c>
      <c r="D346" s="85" t="s">
        <v>12</v>
      </c>
      <c r="E346" s="85" t="s">
        <v>265</v>
      </c>
      <c r="F346" s="85" t="s">
        <v>24</v>
      </c>
      <c r="G346" s="85" t="s">
        <v>21</v>
      </c>
      <c r="H346" s="86">
        <v>46216</v>
      </c>
      <c r="I346" s="85">
        <v>500000</v>
      </c>
      <c r="J346" s="85">
        <v>2</v>
      </c>
    </row>
    <row r="347" spans="1:10" ht="16" customHeight="1">
      <c r="A347" s="85">
        <v>3101346</v>
      </c>
      <c r="B347" s="85" t="s">
        <v>312</v>
      </c>
      <c r="C347" s="85" t="s">
        <v>260</v>
      </c>
      <c r="D347" s="85" t="s">
        <v>12</v>
      </c>
      <c r="E347" s="85" t="s">
        <v>265</v>
      </c>
      <c r="F347" s="85" t="s">
        <v>20</v>
      </c>
      <c r="G347" s="85" t="s">
        <v>25</v>
      </c>
      <c r="H347" s="86">
        <v>46147</v>
      </c>
      <c r="I347" s="85">
        <v>530000</v>
      </c>
      <c r="J347" s="85">
        <v>2</v>
      </c>
    </row>
    <row r="348" spans="1:10" ht="16" customHeight="1">
      <c r="A348" s="85">
        <v>3101347</v>
      </c>
      <c r="B348" s="85" t="s">
        <v>286</v>
      </c>
      <c r="C348" s="85" t="s">
        <v>11</v>
      </c>
      <c r="D348" s="85" t="s">
        <v>12</v>
      </c>
      <c r="E348" s="85" t="s">
        <v>261</v>
      </c>
      <c r="F348" s="85" t="s">
        <v>14</v>
      </c>
      <c r="G348" s="85" t="s">
        <v>21</v>
      </c>
      <c r="H348" s="86">
        <v>46248</v>
      </c>
      <c r="I348" s="85">
        <v>505000</v>
      </c>
      <c r="J348" s="85">
        <v>0</v>
      </c>
    </row>
    <row r="349" spans="1:10" ht="16" customHeight="1">
      <c r="A349" s="85">
        <v>3101348</v>
      </c>
      <c r="B349" s="85" t="s">
        <v>262</v>
      </c>
      <c r="C349" s="85" t="s">
        <v>27</v>
      </c>
      <c r="D349" s="85" t="s">
        <v>12</v>
      </c>
      <c r="E349" s="85" t="s">
        <v>303</v>
      </c>
      <c r="F349" s="85" t="s">
        <v>14</v>
      </c>
      <c r="G349" s="85" t="s">
        <v>256</v>
      </c>
      <c r="H349" s="86">
        <v>46183</v>
      </c>
      <c r="I349" s="85">
        <v>750000</v>
      </c>
      <c r="J349" s="85">
        <v>0</v>
      </c>
    </row>
    <row r="350" spans="1:10" ht="16" customHeight="1">
      <c r="A350" s="85">
        <v>3101349</v>
      </c>
      <c r="B350" s="85" t="s">
        <v>282</v>
      </c>
      <c r="C350" s="85" t="s">
        <v>268</v>
      </c>
      <c r="D350" s="85" t="s">
        <v>28</v>
      </c>
      <c r="E350" s="85" t="s">
        <v>29</v>
      </c>
      <c r="F350" s="85" t="s">
        <v>20</v>
      </c>
      <c r="G350" s="85" t="s">
        <v>25</v>
      </c>
      <c r="H350" s="86">
        <v>46236</v>
      </c>
      <c r="I350" s="85">
        <v>345000</v>
      </c>
      <c r="J350" s="85">
        <v>5</v>
      </c>
    </row>
    <row r="351" spans="1:10" ht="16" customHeight="1">
      <c r="A351" s="85">
        <v>3101350</v>
      </c>
      <c r="B351" s="85" t="s">
        <v>307</v>
      </c>
      <c r="C351" s="85" t="s">
        <v>11</v>
      </c>
      <c r="D351" s="85" t="s">
        <v>12</v>
      </c>
      <c r="E351" s="85" t="s">
        <v>303</v>
      </c>
      <c r="F351" s="85" t="s">
        <v>14</v>
      </c>
      <c r="G351" s="85" t="s">
        <v>21</v>
      </c>
      <c r="H351" s="86">
        <v>46275</v>
      </c>
      <c r="I351" s="85">
        <v>720000</v>
      </c>
      <c r="J351" s="85">
        <v>5</v>
      </c>
    </row>
    <row r="352" spans="1:10" ht="16" customHeight="1">
      <c r="A352" s="85">
        <v>3101351</v>
      </c>
      <c r="B352" s="85" t="s">
        <v>289</v>
      </c>
      <c r="C352" s="85" t="s">
        <v>38</v>
      </c>
      <c r="D352" s="85" t="s">
        <v>12</v>
      </c>
      <c r="E352" s="85" t="s">
        <v>36</v>
      </c>
      <c r="F352" s="85" t="s">
        <v>14</v>
      </c>
      <c r="G352" s="85" t="s">
        <v>256</v>
      </c>
      <c r="H352" s="86">
        <v>46259</v>
      </c>
      <c r="I352" s="85">
        <v>520000</v>
      </c>
      <c r="J352" s="85">
        <v>3</v>
      </c>
    </row>
    <row r="353" spans="1:10" ht="16" customHeight="1">
      <c r="A353" s="85">
        <v>3101352</v>
      </c>
      <c r="B353" s="85" t="s">
        <v>100</v>
      </c>
      <c r="C353" s="85" t="s">
        <v>38</v>
      </c>
      <c r="D353" s="85" t="s">
        <v>12</v>
      </c>
      <c r="E353" s="85" t="s">
        <v>23</v>
      </c>
      <c r="F353" s="85" t="s">
        <v>20</v>
      </c>
      <c r="G353" s="85" t="s">
        <v>21</v>
      </c>
      <c r="H353" s="86">
        <v>46152</v>
      </c>
      <c r="I353" s="85">
        <v>450000</v>
      </c>
      <c r="J353" s="85">
        <v>3</v>
      </c>
    </row>
    <row r="354" spans="1:10" ht="16" customHeight="1">
      <c r="A354" s="85">
        <v>3101353</v>
      </c>
      <c r="B354" s="85" t="s">
        <v>286</v>
      </c>
      <c r="C354" s="85" t="s">
        <v>258</v>
      </c>
      <c r="D354" s="85" t="s">
        <v>18</v>
      </c>
      <c r="E354" s="85" t="s">
        <v>39</v>
      </c>
      <c r="F354" s="85" t="s">
        <v>20</v>
      </c>
      <c r="G354" s="85" t="s">
        <v>256</v>
      </c>
      <c r="H354" s="86">
        <v>46243</v>
      </c>
      <c r="I354" s="85">
        <v>405000</v>
      </c>
      <c r="J354" s="85">
        <v>2</v>
      </c>
    </row>
    <row r="355" spans="1:10" ht="16" customHeight="1">
      <c r="A355" s="85">
        <v>3101354</v>
      </c>
      <c r="B355" s="85" t="s">
        <v>296</v>
      </c>
      <c r="C355" s="85" t="s">
        <v>268</v>
      </c>
      <c r="D355" s="85" t="s">
        <v>18</v>
      </c>
      <c r="E355" s="85" t="s">
        <v>19</v>
      </c>
      <c r="F355" s="85" t="s">
        <v>24</v>
      </c>
      <c r="G355" s="85" t="s">
        <v>21</v>
      </c>
      <c r="H355" s="86">
        <v>46274</v>
      </c>
      <c r="I355" s="85">
        <v>335000</v>
      </c>
      <c r="J355" s="85">
        <v>4</v>
      </c>
    </row>
    <row r="356" spans="1:10" ht="16" customHeight="1">
      <c r="A356" s="85">
        <v>3101355</v>
      </c>
      <c r="B356" s="85" t="s">
        <v>301</v>
      </c>
      <c r="C356" s="85" t="s">
        <v>268</v>
      </c>
      <c r="D356" s="85" t="s">
        <v>32</v>
      </c>
      <c r="E356" s="85" t="s">
        <v>300</v>
      </c>
      <c r="F356" s="85" t="s">
        <v>20</v>
      </c>
      <c r="G356" s="85" t="s">
        <v>25</v>
      </c>
      <c r="H356" s="86">
        <v>46193</v>
      </c>
      <c r="I356" s="85">
        <v>420000</v>
      </c>
      <c r="J356" s="85">
        <v>2</v>
      </c>
    </row>
    <row r="357" spans="1:10" ht="16" customHeight="1">
      <c r="A357" s="85">
        <v>3101356</v>
      </c>
      <c r="B357" s="85" t="s">
        <v>275</v>
      </c>
      <c r="C357" s="85" t="s">
        <v>38</v>
      </c>
      <c r="D357" s="85" t="s">
        <v>28</v>
      </c>
      <c r="E357" s="85" t="s">
        <v>29</v>
      </c>
      <c r="F357" s="85" t="s">
        <v>34</v>
      </c>
      <c r="G357" s="85" t="s">
        <v>256</v>
      </c>
      <c r="H357" s="86">
        <v>46292</v>
      </c>
      <c r="I357" s="85">
        <v>420000</v>
      </c>
      <c r="J357" s="85">
        <v>3</v>
      </c>
    </row>
    <row r="358" spans="1:10" ht="16" customHeight="1">
      <c r="A358" s="85">
        <v>3101357</v>
      </c>
      <c r="B358" s="85" t="s">
        <v>266</v>
      </c>
      <c r="C358" s="85" t="s">
        <v>27</v>
      </c>
      <c r="D358" s="85" t="s">
        <v>28</v>
      </c>
      <c r="E358" s="85" t="s">
        <v>29</v>
      </c>
      <c r="F358" s="85" t="s">
        <v>24</v>
      </c>
      <c r="G358" s="85" t="s">
        <v>256</v>
      </c>
      <c r="H358" s="86">
        <v>46230</v>
      </c>
      <c r="I358" s="85">
        <v>445000</v>
      </c>
      <c r="J358" s="85">
        <v>2</v>
      </c>
    </row>
    <row r="359" spans="1:10" ht="16" customHeight="1">
      <c r="A359" s="85">
        <v>3101358</v>
      </c>
      <c r="B359" s="85" t="s">
        <v>271</v>
      </c>
      <c r="C359" s="85" t="s">
        <v>17</v>
      </c>
      <c r="D359" s="85" t="s">
        <v>12</v>
      </c>
      <c r="E359" s="85" t="s">
        <v>303</v>
      </c>
      <c r="F359" s="85" t="s">
        <v>34</v>
      </c>
      <c r="G359" s="85" t="s">
        <v>21</v>
      </c>
      <c r="H359" s="86">
        <v>46193</v>
      </c>
      <c r="I359" s="85">
        <v>620000</v>
      </c>
      <c r="J359" s="85">
        <v>1</v>
      </c>
    </row>
    <row r="360" spans="1:10" ht="16" customHeight="1">
      <c r="A360" s="85">
        <v>3101359</v>
      </c>
      <c r="B360" s="85" t="s">
        <v>299</v>
      </c>
      <c r="C360" s="85" t="s">
        <v>260</v>
      </c>
      <c r="D360" s="85" t="s">
        <v>32</v>
      </c>
      <c r="E360" s="85" t="s">
        <v>33</v>
      </c>
      <c r="F360" s="85" t="s">
        <v>24</v>
      </c>
      <c r="G360" s="85" t="s">
        <v>21</v>
      </c>
      <c r="H360" s="86">
        <v>46244</v>
      </c>
      <c r="I360" s="85">
        <v>340000</v>
      </c>
      <c r="J360" s="85">
        <v>5</v>
      </c>
    </row>
    <row r="361" spans="1:10" ht="16" customHeight="1">
      <c r="A361" s="85">
        <v>3101360</v>
      </c>
      <c r="B361" s="85" t="s">
        <v>273</v>
      </c>
      <c r="C361" s="85" t="s">
        <v>260</v>
      </c>
      <c r="D361" s="85" t="s">
        <v>12</v>
      </c>
      <c r="E361" s="85" t="s">
        <v>261</v>
      </c>
      <c r="F361" s="85" t="s">
        <v>20</v>
      </c>
      <c r="G361" s="85" t="s">
        <v>15</v>
      </c>
      <c r="H361" s="86">
        <v>46168</v>
      </c>
      <c r="I361" s="85">
        <v>685000</v>
      </c>
      <c r="J361" s="85">
        <v>0</v>
      </c>
    </row>
    <row r="362" spans="1:10" ht="16" customHeight="1">
      <c r="A362" s="85">
        <v>3101361</v>
      </c>
      <c r="B362" s="85" t="s">
        <v>290</v>
      </c>
      <c r="C362" s="85" t="s">
        <v>38</v>
      </c>
      <c r="D362" s="85" t="s">
        <v>12</v>
      </c>
      <c r="E362" s="85" t="s">
        <v>23</v>
      </c>
      <c r="F362" s="85" t="s">
        <v>20</v>
      </c>
      <c r="G362" s="85" t="s">
        <v>21</v>
      </c>
      <c r="H362" s="86">
        <v>46158</v>
      </c>
      <c r="I362" s="85">
        <v>615000</v>
      </c>
      <c r="J362" s="85">
        <v>2</v>
      </c>
    </row>
    <row r="363" spans="1:10" ht="16" customHeight="1">
      <c r="A363" s="85">
        <v>3101362</v>
      </c>
      <c r="B363" s="85" t="s">
        <v>280</v>
      </c>
      <c r="C363" s="85" t="s">
        <v>260</v>
      </c>
      <c r="D363" s="85" t="s">
        <v>18</v>
      </c>
      <c r="E363" s="85" t="s">
        <v>39</v>
      </c>
      <c r="F363" s="85" t="s">
        <v>14</v>
      </c>
      <c r="G363" s="85" t="s">
        <v>21</v>
      </c>
      <c r="H363" s="86">
        <v>46191</v>
      </c>
      <c r="I363" s="85">
        <v>450000</v>
      </c>
      <c r="J363" s="85">
        <v>0</v>
      </c>
    </row>
    <row r="364" spans="1:10" ht="16" customHeight="1">
      <c r="A364" s="85">
        <v>3101363</v>
      </c>
      <c r="B364" s="85" t="s">
        <v>298</v>
      </c>
      <c r="C364" s="85" t="s">
        <v>11</v>
      </c>
      <c r="D364" s="85" t="s">
        <v>28</v>
      </c>
      <c r="E364" s="85" t="s">
        <v>297</v>
      </c>
      <c r="F364" s="85" t="s">
        <v>34</v>
      </c>
      <c r="G364" s="85" t="s">
        <v>21</v>
      </c>
      <c r="H364" s="86">
        <v>46196</v>
      </c>
      <c r="I364" s="85">
        <v>615000</v>
      </c>
      <c r="J364" s="85">
        <v>5</v>
      </c>
    </row>
    <row r="365" spans="1:10" ht="16" customHeight="1">
      <c r="A365" s="85">
        <v>3101364</v>
      </c>
      <c r="B365" s="85" t="s">
        <v>305</v>
      </c>
      <c r="C365" s="85" t="s">
        <v>268</v>
      </c>
      <c r="D365" s="85" t="s">
        <v>12</v>
      </c>
      <c r="E365" s="85" t="s">
        <v>265</v>
      </c>
      <c r="F365" s="85" t="s">
        <v>20</v>
      </c>
      <c r="G365" s="85" t="s">
        <v>25</v>
      </c>
      <c r="H365" s="86">
        <v>46234</v>
      </c>
      <c r="I365" s="85">
        <v>515000</v>
      </c>
      <c r="J365" s="85">
        <v>0</v>
      </c>
    </row>
    <row r="366" spans="1:10" ht="16" customHeight="1">
      <c r="A366" s="85">
        <v>3101365</v>
      </c>
      <c r="B366" s="85" t="s">
        <v>312</v>
      </c>
      <c r="C366" s="85" t="s">
        <v>27</v>
      </c>
      <c r="D366" s="85" t="s">
        <v>12</v>
      </c>
      <c r="E366" s="85" t="s">
        <v>303</v>
      </c>
      <c r="F366" s="85" t="s">
        <v>34</v>
      </c>
      <c r="G366" s="85" t="s">
        <v>25</v>
      </c>
      <c r="H366" s="86">
        <v>46254</v>
      </c>
      <c r="I366" s="85">
        <v>570000</v>
      </c>
      <c r="J366" s="85">
        <v>2</v>
      </c>
    </row>
    <row r="367" spans="1:10" ht="16" customHeight="1">
      <c r="A367" s="85">
        <v>3101366</v>
      </c>
      <c r="B367" s="85" t="s">
        <v>302</v>
      </c>
      <c r="C367" s="85" t="s">
        <v>260</v>
      </c>
      <c r="D367" s="85" t="s">
        <v>28</v>
      </c>
      <c r="E367" s="85" t="s">
        <v>297</v>
      </c>
      <c r="F367" s="85" t="s">
        <v>24</v>
      </c>
      <c r="G367" s="85" t="s">
        <v>25</v>
      </c>
      <c r="H367" s="86">
        <v>46155</v>
      </c>
      <c r="I367" s="85">
        <v>405000</v>
      </c>
      <c r="J367" s="85">
        <v>0</v>
      </c>
    </row>
    <row r="368" spans="1:10" ht="16" customHeight="1">
      <c r="A368" s="85">
        <v>3101367</v>
      </c>
      <c r="B368" s="85" t="s">
        <v>262</v>
      </c>
      <c r="C368" s="85" t="s">
        <v>11</v>
      </c>
      <c r="D368" s="85" t="s">
        <v>32</v>
      </c>
      <c r="E368" s="85" t="s">
        <v>33</v>
      </c>
      <c r="F368" s="85" t="s">
        <v>24</v>
      </c>
      <c r="G368" s="85" t="s">
        <v>21</v>
      </c>
      <c r="H368" s="86">
        <v>46192</v>
      </c>
      <c r="I368" s="85">
        <v>425000</v>
      </c>
      <c r="J368" s="85">
        <v>3</v>
      </c>
    </row>
    <row r="369" spans="1:10" ht="16" customHeight="1">
      <c r="A369" s="85">
        <v>3101368</v>
      </c>
      <c r="B369" s="85" t="s">
        <v>174</v>
      </c>
      <c r="C369" s="85" t="s">
        <v>258</v>
      </c>
      <c r="D369" s="85" t="s">
        <v>28</v>
      </c>
      <c r="E369" s="85" t="s">
        <v>297</v>
      </c>
      <c r="F369" s="85" t="s">
        <v>20</v>
      </c>
      <c r="G369" s="85" t="s">
        <v>21</v>
      </c>
      <c r="H369" s="86">
        <v>46254</v>
      </c>
      <c r="I369" s="85">
        <v>530000</v>
      </c>
      <c r="J369" s="85">
        <v>4</v>
      </c>
    </row>
    <row r="370" spans="1:10" ht="16" customHeight="1">
      <c r="A370" s="85">
        <v>3101369</v>
      </c>
      <c r="B370" s="85" t="s">
        <v>284</v>
      </c>
      <c r="C370" s="85" t="s">
        <v>258</v>
      </c>
      <c r="D370" s="85" t="s">
        <v>18</v>
      </c>
      <c r="E370" s="85" t="s">
        <v>39</v>
      </c>
      <c r="F370" s="85" t="s">
        <v>20</v>
      </c>
      <c r="G370" s="85" t="s">
        <v>25</v>
      </c>
      <c r="H370" s="86">
        <v>46163</v>
      </c>
      <c r="I370" s="85">
        <v>405000</v>
      </c>
      <c r="J370" s="85">
        <v>3</v>
      </c>
    </row>
    <row r="371" spans="1:10" ht="16" customHeight="1">
      <c r="A371" s="85">
        <v>3101370</v>
      </c>
      <c r="B371" s="85" t="s">
        <v>100</v>
      </c>
      <c r="C371" s="85" t="s">
        <v>260</v>
      </c>
      <c r="D371" s="85" t="s">
        <v>12</v>
      </c>
      <c r="E371" s="85" t="s">
        <v>13</v>
      </c>
      <c r="F371" s="85" t="s">
        <v>24</v>
      </c>
      <c r="G371" s="85" t="s">
        <v>256</v>
      </c>
      <c r="H371" s="86">
        <v>46265</v>
      </c>
      <c r="I371" s="85">
        <v>600000</v>
      </c>
      <c r="J371" s="85">
        <v>4</v>
      </c>
    </row>
    <row r="372" spans="1:10" ht="16" customHeight="1">
      <c r="A372" s="85">
        <v>3101371</v>
      </c>
      <c r="B372" s="85" t="s">
        <v>301</v>
      </c>
      <c r="C372" s="85" t="s">
        <v>260</v>
      </c>
      <c r="D372" s="85" t="s">
        <v>18</v>
      </c>
      <c r="E372" s="85" t="s">
        <v>39</v>
      </c>
      <c r="F372" s="85" t="s">
        <v>20</v>
      </c>
      <c r="G372" s="85" t="s">
        <v>256</v>
      </c>
      <c r="H372" s="86">
        <v>46179</v>
      </c>
      <c r="I372" s="85">
        <v>430000</v>
      </c>
      <c r="J372" s="85">
        <v>2</v>
      </c>
    </row>
    <row r="373" spans="1:10" ht="16" customHeight="1">
      <c r="A373" s="85">
        <v>3101372</v>
      </c>
      <c r="B373" s="85" t="s">
        <v>273</v>
      </c>
      <c r="C373" s="85" t="s">
        <v>11</v>
      </c>
      <c r="D373" s="85" t="s">
        <v>12</v>
      </c>
      <c r="E373" s="85" t="s">
        <v>261</v>
      </c>
      <c r="F373" s="85" t="s">
        <v>20</v>
      </c>
      <c r="G373" s="85" t="s">
        <v>15</v>
      </c>
      <c r="H373" s="86">
        <v>46286</v>
      </c>
      <c r="I373" s="85">
        <v>625000</v>
      </c>
      <c r="J373" s="85">
        <v>2</v>
      </c>
    </row>
    <row r="374" spans="1:10" ht="16" customHeight="1">
      <c r="A374" s="85">
        <v>3101373</v>
      </c>
      <c r="B374" s="85" t="s">
        <v>277</v>
      </c>
      <c r="C374" s="85" t="s">
        <v>268</v>
      </c>
      <c r="D374" s="85" t="s">
        <v>18</v>
      </c>
      <c r="E374" s="85" t="s">
        <v>19</v>
      </c>
      <c r="F374" s="85" t="s">
        <v>24</v>
      </c>
      <c r="G374" s="85" t="s">
        <v>21</v>
      </c>
      <c r="H374" s="86">
        <v>46233</v>
      </c>
      <c r="I374" s="85">
        <v>310000</v>
      </c>
      <c r="J374" s="85">
        <v>2</v>
      </c>
    </row>
    <row r="375" spans="1:10" ht="16" customHeight="1">
      <c r="A375" s="85">
        <v>3101374</v>
      </c>
      <c r="B375" s="85" t="s">
        <v>267</v>
      </c>
      <c r="C375" s="85" t="s">
        <v>38</v>
      </c>
      <c r="D375" s="85" t="s">
        <v>18</v>
      </c>
      <c r="E375" s="85" t="s">
        <v>39</v>
      </c>
      <c r="F375" s="85" t="s">
        <v>20</v>
      </c>
      <c r="G375" s="85" t="s">
        <v>256</v>
      </c>
      <c r="H375" s="86">
        <v>46209</v>
      </c>
      <c r="I375" s="85">
        <v>320000</v>
      </c>
      <c r="J375" s="85">
        <v>2</v>
      </c>
    </row>
    <row r="376" spans="1:10" ht="16" customHeight="1">
      <c r="A376" s="85">
        <v>3101375</v>
      </c>
      <c r="B376" s="85" t="s">
        <v>259</v>
      </c>
      <c r="C376" s="85" t="s">
        <v>264</v>
      </c>
      <c r="D376" s="85" t="s">
        <v>12</v>
      </c>
      <c r="E376" s="85" t="s">
        <v>36</v>
      </c>
      <c r="F376" s="85" t="s">
        <v>14</v>
      </c>
      <c r="G376" s="85" t="s">
        <v>25</v>
      </c>
      <c r="H376" s="86">
        <v>46156</v>
      </c>
      <c r="I376" s="85">
        <v>775000</v>
      </c>
      <c r="J376" s="85">
        <v>3</v>
      </c>
    </row>
    <row r="377" spans="1:10" ht="16" customHeight="1">
      <c r="A377" s="85">
        <v>3101376</v>
      </c>
      <c r="B377" s="85" t="s">
        <v>293</v>
      </c>
      <c r="C377" s="85" t="s">
        <v>258</v>
      </c>
      <c r="D377" s="85" t="s">
        <v>12</v>
      </c>
      <c r="E377" s="85" t="s">
        <v>303</v>
      </c>
      <c r="F377" s="85" t="s">
        <v>24</v>
      </c>
      <c r="G377" s="85" t="s">
        <v>21</v>
      </c>
      <c r="H377" s="86">
        <v>46156</v>
      </c>
      <c r="I377" s="85">
        <v>800000</v>
      </c>
      <c r="J377" s="85">
        <v>2</v>
      </c>
    </row>
    <row r="378" spans="1:10" ht="16" customHeight="1">
      <c r="A378" s="85">
        <v>3101377</v>
      </c>
      <c r="B378" s="85" t="s">
        <v>294</v>
      </c>
      <c r="C378" s="85" t="s">
        <v>268</v>
      </c>
      <c r="D378" s="85" t="s">
        <v>28</v>
      </c>
      <c r="E378" s="85" t="s">
        <v>29</v>
      </c>
      <c r="F378" s="85" t="s">
        <v>14</v>
      </c>
      <c r="G378" s="85" t="s">
        <v>25</v>
      </c>
      <c r="H378" s="86">
        <v>46268</v>
      </c>
      <c r="I378" s="85">
        <v>310000</v>
      </c>
      <c r="J378" s="85">
        <v>2</v>
      </c>
    </row>
    <row r="379" spans="1:10" ht="16" customHeight="1">
      <c r="A379" s="85">
        <v>3101378</v>
      </c>
      <c r="B379" s="85" t="s">
        <v>279</v>
      </c>
      <c r="C379" s="85" t="s">
        <v>268</v>
      </c>
      <c r="D379" s="85" t="s">
        <v>32</v>
      </c>
      <c r="E379" s="85" t="s">
        <v>300</v>
      </c>
      <c r="F379" s="85" t="s">
        <v>14</v>
      </c>
      <c r="G379" s="85" t="s">
        <v>21</v>
      </c>
      <c r="H379" s="86">
        <v>46179</v>
      </c>
      <c r="I379" s="85">
        <v>390000</v>
      </c>
      <c r="J379" s="85">
        <v>3</v>
      </c>
    </row>
    <row r="380" spans="1:10" ht="16" customHeight="1">
      <c r="A380" s="85">
        <v>3101379</v>
      </c>
      <c r="B380" s="85" t="s">
        <v>276</v>
      </c>
      <c r="C380" s="85" t="s">
        <v>260</v>
      </c>
      <c r="D380" s="85" t="s">
        <v>18</v>
      </c>
      <c r="E380" s="85" t="s">
        <v>39</v>
      </c>
      <c r="F380" s="85" t="s">
        <v>24</v>
      </c>
      <c r="G380" s="85" t="s">
        <v>15</v>
      </c>
      <c r="H380" s="86">
        <v>46259</v>
      </c>
      <c r="I380" s="85">
        <v>325000</v>
      </c>
      <c r="J380" s="85">
        <v>5</v>
      </c>
    </row>
    <row r="381" spans="1:10" ht="16" customHeight="1">
      <c r="A381" s="85">
        <v>3101380</v>
      </c>
      <c r="B381" s="85" t="s">
        <v>296</v>
      </c>
      <c r="C381" s="85" t="s">
        <v>268</v>
      </c>
      <c r="D381" s="85" t="s">
        <v>12</v>
      </c>
      <c r="E381" s="85" t="s">
        <v>261</v>
      </c>
      <c r="F381" s="85" t="s">
        <v>34</v>
      </c>
      <c r="G381" s="85" t="s">
        <v>25</v>
      </c>
      <c r="H381" s="86">
        <v>46291</v>
      </c>
      <c r="I381" s="85">
        <v>685000</v>
      </c>
      <c r="J381" s="85">
        <v>5</v>
      </c>
    </row>
    <row r="382" spans="1:10" ht="16" customHeight="1">
      <c r="A382" s="85">
        <v>3101381</v>
      </c>
      <c r="B382" s="85" t="s">
        <v>275</v>
      </c>
      <c r="C382" s="85" t="s">
        <v>260</v>
      </c>
      <c r="D382" s="85" t="s">
        <v>32</v>
      </c>
      <c r="E382" s="85" t="s">
        <v>300</v>
      </c>
      <c r="F382" s="85" t="s">
        <v>34</v>
      </c>
      <c r="G382" s="85" t="s">
        <v>15</v>
      </c>
      <c r="H382" s="86">
        <v>46187</v>
      </c>
      <c r="I382" s="85">
        <v>330000</v>
      </c>
      <c r="J382" s="85">
        <v>5</v>
      </c>
    </row>
    <row r="383" spans="1:10" ht="16" customHeight="1">
      <c r="A383" s="85">
        <v>3101382</v>
      </c>
      <c r="B383" s="85" t="s">
        <v>277</v>
      </c>
      <c r="C383" s="85" t="s">
        <v>260</v>
      </c>
      <c r="D383" s="85" t="s">
        <v>12</v>
      </c>
      <c r="E383" s="85" t="s">
        <v>265</v>
      </c>
      <c r="F383" s="85" t="s">
        <v>34</v>
      </c>
      <c r="G383" s="85" t="s">
        <v>15</v>
      </c>
      <c r="H383" s="86">
        <v>46292</v>
      </c>
      <c r="I383" s="85">
        <v>670000</v>
      </c>
      <c r="J383" s="85">
        <v>3</v>
      </c>
    </row>
    <row r="384" spans="1:10" ht="16" customHeight="1">
      <c r="A384" s="85">
        <v>3101383</v>
      </c>
      <c r="B384" s="85" t="s">
        <v>266</v>
      </c>
      <c r="C384" s="85" t="s">
        <v>260</v>
      </c>
      <c r="D384" s="85" t="s">
        <v>12</v>
      </c>
      <c r="E384" s="85" t="s">
        <v>265</v>
      </c>
      <c r="F384" s="85" t="s">
        <v>34</v>
      </c>
      <c r="G384" s="85" t="s">
        <v>15</v>
      </c>
      <c r="H384" s="86">
        <v>46167</v>
      </c>
      <c r="I384" s="85">
        <v>495000</v>
      </c>
      <c r="J384" s="85">
        <v>3</v>
      </c>
    </row>
    <row r="385" spans="1:10" ht="16" customHeight="1">
      <c r="A385" s="85">
        <v>3101384</v>
      </c>
      <c r="B385" s="85" t="s">
        <v>305</v>
      </c>
      <c r="C385" s="85" t="s">
        <v>258</v>
      </c>
      <c r="D385" s="85" t="s">
        <v>18</v>
      </c>
      <c r="E385" s="85" t="s">
        <v>19</v>
      </c>
      <c r="F385" s="85" t="s">
        <v>24</v>
      </c>
      <c r="G385" s="85" t="s">
        <v>25</v>
      </c>
      <c r="H385" s="86">
        <v>46231</v>
      </c>
      <c r="I385" s="85">
        <v>460000</v>
      </c>
      <c r="J385" s="85">
        <v>3</v>
      </c>
    </row>
    <row r="386" spans="1:10" ht="16" customHeight="1">
      <c r="A386" s="85">
        <v>3101385</v>
      </c>
      <c r="B386" s="85" t="s">
        <v>100</v>
      </c>
      <c r="C386" s="85" t="s">
        <v>258</v>
      </c>
      <c r="D386" s="85" t="s">
        <v>12</v>
      </c>
      <c r="E386" s="85" t="s">
        <v>36</v>
      </c>
      <c r="F386" s="85" t="s">
        <v>14</v>
      </c>
      <c r="G386" s="85" t="s">
        <v>256</v>
      </c>
      <c r="H386" s="86">
        <v>46211</v>
      </c>
      <c r="I386" s="85">
        <v>570000</v>
      </c>
      <c r="J386" s="85">
        <v>4</v>
      </c>
    </row>
    <row r="387" spans="1:10" ht="16" customHeight="1">
      <c r="A387" s="85">
        <v>3101386</v>
      </c>
      <c r="B387" s="85" t="s">
        <v>308</v>
      </c>
      <c r="C387" s="85" t="s">
        <v>38</v>
      </c>
      <c r="D387" s="85" t="s">
        <v>12</v>
      </c>
      <c r="E387" s="85" t="s">
        <v>303</v>
      </c>
      <c r="F387" s="85" t="s">
        <v>24</v>
      </c>
      <c r="G387" s="85" t="s">
        <v>21</v>
      </c>
      <c r="H387" s="86">
        <v>46276</v>
      </c>
      <c r="I387" s="85">
        <v>730000</v>
      </c>
      <c r="J387" s="85">
        <v>3</v>
      </c>
    </row>
    <row r="388" spans="1:10" ht="16" customHeight="1">
      <c r="A388" s="85">
        <v>3101387</v>
      </c>
      <c r="B388" s="85" t="s">
        <v>48</v>
      </c>
      <c r="C388" s="85" t="s">
        <v>11</v>
      </c>
      <c r="D388" s="85" t="s">
        <v>12</v>
      </c>
      <c r="E388" s="85" t="s">
        <v>13</v>
      </c>
      <c r="F388" s="85" t="s">
        <v>34</v>
      </c>
      <c r="G388" s="85" t="s">
        <v>15</v>
      </c>
      <c r="H388" s="86">
        <v>46270</v>
      </c>
      <c r="I388" s="85">
        <v>640000</v>
      </c>
      <c r="J388" s="85">
        <v>5</v>
      </c>
    </row>
    <row r="389" spans="1:10" ht="16" customHeight="1">
      <c r="A389" s="85">
        <v>3101388</v>
      </c>
      <c r="B389" s="85" t="s">
        <v>299</v>
      </c>
      <c r="C389" s="85" t="s">
        <v>264</v>
      </c>
      <c r="D389" s="85" t="s">
        <v>28</v>
      </c>
      <c r="E389" s="85" t="s">
        <v>297</v>
      </c>
      <c r="F389" s="85" t="s">
        <v>34</v>
      </c>
      <c r="G389" s="85" t="s">
        <v>21</v>
      </c>
      <c r="H389" s="86">
        <v>46268</v>
      </c>
      <c r="I389" s="85">
        <v>405000</v>
      </c>
      <c r="J389" s="85">
        <v>4</v>
      </c>
    </row>
    <row r="390" spans="1:10" ht="16" customHeight="1">
      <c r="A390" s="85">
        <v>3101389</v>
      </c>
      <c r="B390" s="85" t="s">
        <v>274</v>
      </c>
      <c r="C390" s="85" t="s">
        <v>17</v>
      </c>
      <c r="D390" s="85" t="s">
        <v>12</v>
      </c>
      <c r="E390" s="85" t="s">
        <v>13</v>
      </c>
      <c r="F390" s="85" t="s">
        <v>14</v>
      </c>
      <c r="G390" s="85" t="s">
        <v>15</v>
      </c>
      <c r="H390" s="86">
        <v>46196</v>
      </c>
      <c r="I390" s="85">
        <v>390000</v>
      </c>
      <c r="J390" s="85">
        <v>1</v>
      </c>
    </row>
    <row r="391" spans="1:10" ht="16" customHeight="1">
      <c r="A391" s="85">
        <v>3101390</v>
      </c>
      <c r="B391" s="85" t="s">
        <v>174</v>
      </c>
      <c r="C391" s="85" t="s">
        <v>11</v>
      </c>
      <c r="D391" s="85" t="s">
        <v>28</v>
      </c>
      <c r="E391" s="85" t="s">
        <v>29</v>
      </c>
      <c r="F391" s="85" t="s">
        <v>34</v>
      </c>
      <c r="G391" s="85" t="s">
        <v>25</v>
      </c>
      <c r="H391" s="86">
        <v>46272</v>
      </c>
      <c r="I391" s="85">
        <v>325000</v>
      </c>
      <c r="J391" s="85">
        <v>3</v>
      </c>
    </row>
    <row r="392" spans="1:10" ht="16" customHeight="1">
      <c r="A392" s="85">
        <v>3101391</v>
      </c>
      <c r="B392" s="85" t="s">
        <v>275</v>
      </c>
      <c r="C392" s="85" t="s">
        <v>38</v>
      </c>
      <c r="D392" s="85" t="s">
        <v>28</v>
      </c>
      <c r="E392" s="85" t="s">
        <v>297</v>
      </c>
      <c r="F392" s="85" t="s">
        <v>20</v>
      </c>
      <c r="G392" s="85" t="s">
        <v>15</v>
      </c>
      <c r="H392" s="86">
        <v>46281</v>
      </c>
      <c r="I392" s="85">
        <v>535000</v>
      </c>
      <c r="J392" s="85">
        <v>5</v>
      </c>
    </row>
    <row r="393" spans="1:10" ht="16" customHeight="1">
      <c r="A393" s="85">
        <v>3101392</v>
      </c>
      <c r="B393" s="85" t="s">
        <v>44</v>
      </c>
      <c r="C393" s="85" t="s">
        <v>11</v>
      </c>
      <c r="D393" s="85" t="s">
        <v>32</v>
      </c>
      <c r="E393" s="85" t="s">
        <v>300</v>
      </c>
      <c r="F393" s="85" t="s">
        <v>34</v>
      </c>
      <c r="G393" s="85" t="s">
        <v>21</v>
      </c>
      <c r="H393" s="86">
        <v>46208</v>
      </c>
      <c r="I393" s="85">
        <v>425000</v>
      </c>
      <c r="J393" s="85">
        <v>1</v>
      </c>
    </row>
    <row r="394" spans="1:10" ht="16" customHeight="1">
      <c r="A394" s="85">
        <v>3101393</v>
      </c>
      <c r="B394" s="85" t="s">
        <v>98</v>
      </c>
      <c r="C394" s="85" t="s">
        <v>258</v>
      </c>
      <c r="D394" s="85" t="s">
        <v>12</v>
      </c>
      <c r="E394" s="85" t="s">
        <v>23</v>
      </c>
      <c r="F394" s="85" t="s">
        <v>14</v>
      </c>
      <c r="G394" s="85" t="s">
        <v>21</v>
      </c>
      <c r="H394" s="86">
        <v>46224</v>
      </c>
      <c r="I394" s="85">
        <v>540000</v>
      </c>
      <c r="J394" s="85">
        <v>1</v>
      </c>
    </row>
    <row r="395" spans="1:10" ht="16" customHeight="1">
      <c r="A395" s="85">
        <v>3101394</v>
      </c>
      <c r="B395" s="85" t="s">
        <v>302</v>
      </c>
      <c r="C395" s="85" t="s">
        <v>258</v>
      </c>
      <c r="D395" s="85" t="s">
        <v>12</v>
      </c>
      <c r="E395" s="85" t="s">
        <v>13</v>
      </c>
      <c r="F395" s="85" t="s">
        <v>14</v>
      </c>
      <c r="G395" s="85" t="s">
        <v>256</v>
      </c>
      <c r="H395" s="86">
        <v>46186</v>
      </c>
      <c r="I395" s="85">
        <v>435000</v>
      </c>
      <c r="J395" s="85">
        <v>0</v>
      </c>
    </row>
    <row r="396" spans="1:10" ht="16" customHeight="1">
      <c r="A396" s="85">
        <v>3101395</v>
      </c>
      <c r="B396" s="85" t="s">
        <v>294</v>
      </c>
      <c r="C396" s="85" t="s">
        <v>258</v>
      </c>
      <c r="D396" s="85" t="s">
        <v>28</v>
      </c>
      <c r="E396" s="85" t="s">
        <v>29</v>
      </c>
      <c r="F396" s="85" t="s">
        <v>20</v>
      </c>
      <c r="G396" s="85" t="s">
        <v>15</v>
      </c>
      <c r="H396" s="86">
        <v>46147</v>
      </c>
      <c r="I396" s="85">
        <v>400000</v>
      </c>
      <c r="J396" s="85">
        <v>5</v>
      </c>
    </row>
    <row r="397" spans="1:10" ht="16" customHeight="1">
      <c r="A397" s="85">
        <v>3101396</v>
      </c>
      <c r="B397" s="85" t="s">
        <v>270</v>
      </c>
      <c r="C397" s="85" t="s">
        <v>38</v>
      </c>
      <c r="D397" s="85" t="s">
        <v>32</v>
      </c>
      <c r="E397" s="85" t="s">
        <v>300</v>
      </c>
      <c r="F397" s="85" t="s">
        <v>24</v>
      </c>
      <c r="G397" s="85" t="s">
        <v>25</v>
      </c>
      <c r="H397" s="86">
        <v>46229</v>
      </c>
      <c r="I397" s="85">
        <v>355000</v>
      </c>
      <c r="J397" s="85">
        <v>0</v>
      </c>
    </row>
    <row r="398" spans="1:10" ht="16" customHeight="1">
      <c r="A398" s="85">
        <v>3101397</v>
      </c>
      <c r="B398" s="85" t="s">
        <v>294</v>
      </c>
      <c r="C398" s="85" t="s">
        <v>17</v>
      </c>
      <c r="D398" s="85" t="s">
        <v>12</v>
      </c>
      <c r="E398" s="85" t="s">
        <v>261</v>
      </c>
      <c r="F398" s="85" t="s">
        <v>20</v>
      </c>
      <c r="G398" s="85" t="s">
        <v>21</v>
      </c>
      <c r="H398" s="86">
        <v>46251</v>
      </c>
      <c r="I398" s="85">
        <v>460000</v>
      </c>
      <c r="J398" s="85">
        <v>0</v>
      </c>
    </row>
    <row r="399" spans="1:10" ht="16" customHeight="1">
      <c r="A399" s="85">
        <v>3101398</v>
      </c>
      <c r="B399" s="85" t="s">
        <v>314</v>
      </c>
      <c r="C399" s="85" t="s">
        <v>264</v>
      </c>
      <c r="D399" s="85" t="s">
        <v>32</v>
      </c>
      <c r="E399" s="85" t="s">
        <v>300</v>
      </c>
      <c r="F399" s="85" t="s">
        <v>24</v>
      </c>
      <c r="G399" s="85" t="s">
        <v>21</v>
      </c>
      <c r="H399" s="86">
        <v>46167</v>
      </c>
      <c r="I399" s="85">
        <v>385000</v>
      </c>
      <c r="J399" s="85">
        <v>1</v>
      </c>
    </row>
    <row r="400" spans="1:10" ht="16" customHeight="1">
      <c r="A400" s="85">
        <v>3101399</v>
      </c>
      <c r="B400" s="85" t="s">
        <v>100</v>
      </c>
      <c r="C400" s="85" t="s">
        <v>17</v>
      </c>
      <c r="D400" s="85" t="s">
        <v>12</v>
      </c>
      <c r="E400" s="85" t="s">
        <v>261</v>
      </c>
      <c r="F400" s="85" t="s">
        <v>20</v>
      </c>
      <c r="G400" s="85" t="s">
        <v>25</v>
      </c>
      <c r="H400" s="86">
        <v>46189</v>
      </c>
      <c r="I400" s="85">
        <v>485000</v>
      </c>
      <c r="J400" s="85">
        <v>0</v>
      </c>
    </row>
    <row r="401" spans="1:10" ht="16" customHeight="1">
      <c r="A401" s="85">
        <v>3101400</v>
      </c>
      <c r="B401" s="85" t="s">
        <v>45</v>
      </c>
      <c r="C401" s="85" t="s">
        <v>264</v>
      </c>
      <c r="D401" s="85" t="s">
        <v>32</v>
      </c>
      <c r="E401" s="85" t="s">
        <v>33</v>
      </c>
      <c r="F401" s="85" t="s">
        <v>24</v>
      </c>
      <c r="G401" s="85" t="s">
        <v>25</v>
      </c>
      <c r="H401" s="86">
        <v>46266</v>
      </c>
      <c r="I401" s="85">
        <v>400000</v>
      </c>
      <c r="J401" s="85">
        <v>0</v>
      </c>
    </row>
    <row r="402" spans="1:10" ht="16" customHeight="1">
      <c r="A402" s="85">
        <v>3101401</v>
      </c>
      <c r="B402" s="85" t="s">
        <v>289</v>
      </c>
      <c r="C402" s="85" t="s">
        <v>38</v>
      </c>
      <c r="D402" s="85" t="s">
        <v>18</v>
      </c>
      <c r="E402" s="85" t="s">
        <v>39</v>
      </c>
      <c r="F402" s="85" t="s">
        <v>24</v>
      </c>
      <c r="G402" s="85" t="s">
        <v>21</v>
      </c>
      <c r="H402" s="86">
        <v>46172</v>
      </c>
      <c r="I402" s="85">
        <v>335000</v>
      </c>
      <c r="J402" s="85">
        <v>0</v>
      </c>
    </row>
    <row r="403" spans="1:10" ht="16" customHeight="1">
      <c r="A403" s="85">
        <v>3101402</v>
      </c>
      <c r="B403" s="85" t="s">
        <v>45</v>
      </c>
      <c r="C403" s="85" t="s">
        <v>260</v>
      </c>
      <c r="D403" s="85" t="s">
        <v>32</v>
      </c>
      <c r="E403" s="85" t="s">
        <v>300</v>
      </c>
      <c r="F403" s="85" t="s">
        <v>24</v>
      </c>
      <c r="G403" s="85" t="s">
        <v>256</v>
      </c>
      <c r="H403" s="86">
        <v>46222</v>
      </c>
      <c r="I403" s="85">
        <v>295000</v>
      </c>
      <c r="J403" s="85">
        <v>1</v>
      </c>
    </row>
    <row r="404" spans="1:10" ht="16" customHeight="1">
      <c r="A404" s="85">
        <v>3101403</v>
      </c>
      <c r="B404" s="85" t="s">
        <v>271</v>
      </c>
      <c r="C404" s="85" t="s">
        <v>38</v>
      </c>
      <c r="D404" s="85" t="s">
        <v>12</v>
      </c>
      <c r="E404" s="85" t="s">
        <v>23</v>
      </c>
      <c r="F404" s="85" t="s">
        <v>24</v>
      </c>
      <c r="G404" s="85" t="s">
        <v>21</v>
      </c>
      <c r="H404" s="86">
        <v>46265</v>
      </c>
      <c r="I404" s="85">
        <v>720000</v>
      </c>
      <c r="J404" s="85">
        <v>5</v>
      </c>
    </row>
    <row r="405" spans="1:10" ht="16" customHeight="1">
      <c r="A405" s="85">
        <v>3101404</v>
      </c>
      <c r="B405" s="85" t="s">
        <v>259</v>
      </c>
      <c r="C405" s="85" t="s">
        <v>17</v>
      </c>
      <c r="D405" s="85" t="s">
        <v>12</v>
      </c>
      <c r="E405" s="85" t="s">
        <v>13</v>
      </c>
      <c r="F405" s="85" t="s">
        <v>24</v>
      </c>
      <c r="G405" s="85" t="s">
        <v>256</v>
      </c>
      <c r="H405" s="86">
        <v>46230</v>
      </c>
      <c r="I405" s="85">
        <v>615000</v>
      </c>
      <c r="J405" s="85">
        <v>3</v>
      </c>
    </row>
    <row r="406" spans="1:10" ht="16" customHeight="1">
      <c r="A406" s="85">
        <v>3101405</v>
      </c>
      <c r="B406" s="85" t="s">
        <v>310</v>
      </c>
      <c r="C406" s="85" t="s">
        <v>17</v>
      </c>
      <c r="D406" s="85" t="s">
        <v>18</v>
      </c>
      <c r="E406" s="85" t="s">
        <v>39</v>
      </c>
      <c r="F406" s="85" t="s">
        <v>34</v>
      </c>
      <c r="G406" s="85" t="s">
        <v>15</v>
      </c>
      <c r="H406" s="86">
        <v>46231</v>
      </c>
      <c r="I406" s="85">
        <v>365000</v>
      </c>
      <c r="J406" s="85">
        <v>2</v>
      </c>
    </row>
    <row r="407" spans="1:10" ht="16" customHeight="1">
      <c r="A407" s="85">
        <v>3101406</v>
      </c>
      <c r="B407" s="85" t="s">
        <v>286</v>
      </c>
      <c r="C407" s="85" t="s">
        <v>17</v>
      </c>
      <c r="D407" s="85" t="s">
        <v>12</v>
      </c>
      <c r="E407" s="85" t="s">
        <v>23</v>
      </c>
      <c r="F407" s="85" t="s">
        <v>14</v>
      </c>
      <c r="G407" s="85" t="s">
        <v>21</v>
      </c>
      <c r="H407" s="86">
        <v>46269</v>
      </c>
      <c r="I407" s="85">
        <v>505000</v>
      </c>
      <c r="J407" s="85">
        <v>5</v>
      </c>
    </row>
    <row r="408" spans="1:10" ht="16" customHeight="1">
      <c r="A408" s="85">
        <v>3101407</v>
      </c>
      <c r="B408" s="85" t="s">
        <v>49</v>
      </c>
      <c r="C408" s="85" t="s">
        <v>260</v>
      </c>
      <c r="D408" s="85" t="s">
        <v>12</v>
      </c>
      <c r="E408" s="85" t="s">
        <v>13</v>
      </c>
      <c r="F408" s="85" t="s">
        <v>14</v>
      </c>
      <c r="G408" s="85" t="s">
        <v>25</v>
      </c>
      <c r="H408" s="86">
        <v>46249</v>
      </c>
      <c r="I408" s="85">
        <v>435000</v>
      </c>
      <c r="J408" s="85">
        <v>3</v>
      </c>
    </row>
    <row r="409" spans="1:10" ht="16" customHeight="1">
      <c r="A409" s="85">
        <v>3101408</v>
      </c>
      <c r="B409" s="85" t="s">
        <v>278</v>
      </c>
      <c r="C409" s="85" t="s">
        <v>258</v>
      </c>
      <c r="D409" s="85" t="s">
        <v>12</v>
      </c>
      <c r="E409" s="85" t="s">
        <v>23</v>
      </c>
      <c r="F409" s="85" t="s">
        <v>14</v>
      </c>
      <c r="G409" s="85" t="s">
        <v>256</v>
      </c>
      <c r="H409" s="86">
        <v>46170</v>
      </c>
      <c r="I409" s="85">
        <v>490000</v>
      </c>
      <c r="J409" s="85">
        <v>5</v>
      </c>
    </row>
    <row r="410" spans="1:10" ht="16" customHeight="1">
      <c r="A410" s="85">
        <v>3101409</v>
      </c>
      <c r="B410" s="85" t="s">
        <v>310</v>
      </c>
      <c r="C410" s="85" t="s">
        <v>260</v>
      </c>
      <c r="D410" s="85" t="s">
        <v>12</v>
      </c>
      <c r="E410" s="85" t="s">
        <v>261</v>
      </c>
      <c r="F410" s="85" t="s">
        <v>34</v>
      </c>
      <c r="G410" s="85" t="s">
        <v>21</v>
      </c>
      <c r="H410" s="86">
        <v>46210</v>
      </c>
      <c r="I410" s="85">
        <v>440000</v>
      </c>
      <c r="J410" s="85">
        <v>5</v>
      </c>
    </row>
    <row r="411" spans="1:10" ht="16" customHeight="1">
      <c r="A411" s="85">
        <v>3101410</v>
      </c>
      <c r="B411" s="85" t="s">
        <v>270</v>
      </c>
      <c r="C411" s="85" t="s">
        <v>268</v>
      </c>
      <c r="D411" s="85" t="s">
        <v>12</v>
      </c>
      <c r="E411" s="85" t="s">
        <v>13</v>
      </c>
      <c r="F411" s="85" t="s">
        <v>24</v>
      </c>
      <c r="G411" s="85" t="s">
        <v>21</v>
      </c>
      <c r="H411" s="86">
        <v>46152</v>
      </c>
      <c r="I411" s="85">
        <v>550000</v>
      </c>
      <c r="J411" s="85">
        <v>4</v>
      </c>
    </row>
    <row r="412" spans="1:10" ht="16" customHeight="1">
      <c r="A412" s="85">
        <v>3101411</v>
      </c>
      <c r="B412" s="85" t="s">
        <v>47</v>
      </c>
      <c r="C412" s="85" t="s">
        <v>260</v>
      </c>
      <c r="D412" s="85" t="s">
        <v>12</v>
      </c>
      <c r="E412" s="85" t="s">
        <v>265</v>
      </c>
      <c r="F412" s="85" t="s">
        <v>34</v>
      </c>
      <c r="G412" s="85" t="s">
        <v>256</v>
      </c>
      <c r="H412" s="86">
        <v>46161</v>
      </c>
      <c r="I412" s="85">
        <v>465000</v>
      </c>
      <c r="J412" s="85">
        <v>5</v>
      </c>
    </row>
    <row r="413" spans="1:10" ht="16" customHeight="1">
      <c r="A413" s="85">
        <v>3101412</v>
      </c>
      <c r="B413" s="85" t="s">
        <v>280</v>
      </c>
      <c r="C413" s="85" t="s">
        <v>268</v>
      </c>
      <c r="D413" s="85" t="s">
        <v>12</v>
      </c>
      <c r="E413" s="85" t="s">
        <v>13</v>
      </c>
      <c r="F413" s="85" t="s">
        <v>14</v>
      </c>
      <c r="G413" s="85" t="s">
        <v>256</v>
      </c>
      <c r="H413" s="86">
        <v>46267</v>
      </c>
      <c r="I413" s="85">
        <v>460000</v>
      </c>
      <c r="J413" s="85">
        <v>4</v>
      </c>
    </row>
    <row r="414" spans="1:10" ht="16" customHeight="1">
      <c r="A414" s="85">
        <v>3101413</v>
      </c>
      <c r="B414" s="85" t="s">
        <v>275</v>
      </c>
      <c r="C414" s="85" t="s">
        <v>11</v>
      </c>
      <c r="D414" s="85" t="s">
        <v>12</v>
      </c>
      <c r="E414" s="85" t="s">
        <v>261</v>
      </c>
      <c r="F414" s="85" t="s">
        <v>14</v>
      </c>
      <c r="G414" s="85" t="s">
        <v>25</v>
      </c>
      <c r="H414" s="86">
        <v>46217</v>
      </c>
      <c r="I414" s="85">
        <v>645000</v>
      </c>
      <c r="J414" s="85">
        <v>5</v>
      </c>
    </row>
    <row r="415" spans="1:10" ht="16" customHeight="1">
      <c r="A415" s="85">
        <v>3101414</v>
      </c>
      <c r="B415" s="85" t="s">
        <v>98</v>
      </c>
      <c r="C415" s="85" t="s">
        <v>11</v>
      </c>
      <c r="D415" s="85" t="s">
        <v>12</v>
      </c>
      <c r="E415" s="85" t="s">
        <v>303</v>
      </c>
      <c r="F415" s="85" t="s">
        <v>24</v>
      </c>
      <c r="G415" s="85" t="s">
        <v>21</v>
      </c>
      <c r="H415" s="86">
        <v>46153</v>
      </c>
      <c r="I415" s="85">
        <v>860000</v>
      </c>
      <c r="J415" s="85">
        <v>0</v>
      </c>
    </row>
    <row r="416" spans="1:10" ht="16" customHeight="1">
      <c r="A416" s="85">
        <v>3101415</v>
      </c>
      <c r="B416" s="85" t="s">
        <v>278</v>
      </c>
      <c r="C416" s="85" t="s">
        <v>258</v>
      </c>
      <c r="D416" s="85" t="s">
        <v>12</v>
      </c>
      <c r="E416" s="85" t="s">
        <v>303</v>
      </c>
      <c r="F416" s="85" t="s">
        <v>24</v>
      </c>
      <c r="G416" s="85" t="s">
        <v>15</v>
      </c>
      <c r="H416" s="86">
        <v>46208</v>
      </c>
      <c r="I416" s="85">
        <v>685000</v>
      </c>
      <c r="J416" s="85">
        <v>5</v>
      </c>
    </row>
    <row r="417" spans="1:10" ht="16" customHeight="1">
      <c r="A417" s="85">
        <v>3101416</v>
      </c>
      <c r="B417" s="85" t="s">
        <v>26</v>
      </c>
      <c r="C417" s="85" t="s">
        <v>260</v>
      </c>
      <c r="D417" s="85" t="s">
        <v>12</v>
      </c>
      <c r="E417" s="85" t="s">
        <v>36</v>
      </c>
      <c r="F417" s="85" t="s">
        <v>14</v>
      </c>
      <c r="G417" s="85" t="s">
        <v>256</v>
      </c>
      <c r="H417" s="86">
        <v>46224</v>
      </c>
      <c r="I417" s="85">
        <v>790000</v>
      </c>
      <c r="J417" s="85">
        <v>0</v>
      </c>
    </row>
    <row r="418" spans="1:10" ht="16" customHeight="1">
      <c r="A418" s="85">
        <v>3101417</v>
      </c>
      <c r="B418" s="85" t="s">
        <v>313</v>
      </c>
      <c r="C418" s="85" t="s">
        <v>260</v>
      </c>
      <c r="D418" s="85" t="s">
        <v>12</v>
      </c>
      <c r="E418" s="85" t="s">
        <v>23</v>
      </c>
      <c r="F418" s="85" t="s">
        <v>34</v>
      </c>
      <c r="G418" s="85" t="s">
        <v>15</v>
      </c>
      <c r="H418" s="86">
        <v>46293</v>
      </c>
      <c r="I418" s="85">
        <v>710000</v>
      </c>
      <c r="J418" s="85">
        <v>3</v>
      </c>
    </row>
    <row r="419" spans="1:10" ht="16" customHeight="1">
      <c r="A419" s="85">
        <v>3101418</v>
      </c>
      <c r="B419" s="85" t="s">
        <v>285</v>
      </c>
      <c r="C419" s="85" t="s">
        <v>264</v>
      </c>
      <c r="D419" s="85" t="s">
        <v>12</v>
      </c>
      <c r="E419" s="85" t="s">
        <v>265</v>
      </c>
      <c r="F419" s="85" t="s">
        <v>24</v>
      </c>
      <c r="G419" s="85" t="s">
        <v>21</v>
      </c>
      <c r="H419" s="86">
        <v>46241</v>
      </c>
      <c r="I419" s="85">
        <v>435000</v>
      </c>
      <c r="J419" s="85">
        <v>1</v>
      </c>
    </row>
    <row r="420" spans="1:10" ht="16" customHeight="1">
      <c r="A420" s="85">
        <v>3101419</v>
      </c>
      <c r="B420" s="85" t="s">
        <v>308</v>
      </c>
      <c r="C420" s="85" t="s">
        <v>17</v>
      </c>
      <c r="D420" s="85" t="s">
        <v>12</v>
      </c>
      <c r="E420" s="85" t="s">
        <v>23</v>
      </c>
      <c r="F420" s="85" t="s">
        <v>14</v>
      </c>
      <c r="G420" s="85" t="s">
        <v>25</v>
      </c>
      <c r="H420" s="86">
        <v>46258</v>
      </c>
      <c r="I420" s="85">
        <v>560000</v>
      </c>
      <c r="J420" s="85">
        <v>2</v>
      </c>
    </row>
    <row r="421" spans="1:10" ht="16" customHeight="1">
      <c r="A421" s="85">
        <v>3101420</v>
      </c>
      <c r="B421" s="85" t="s">
        <v>266</v>
      </c>
      <c r="C421" s="85" t="s">
        <v>268</v>
      </c>
      <c r="D421" s="85" t="s">
        <v>12</v>
      </c>
      <c r="E421" s="85" t="s">
        <v>13</v>
      </c>
      <c r="F421" s="85" t="s">
        <v>14</v>
      </c>
      <c r="G421" s="85" t="s">
        <v>25</v>
      </c>
      <c r="H421" s="86">
        <v>46174</v>
      </c>
      <c r="I421" s="85">
        <v>600000</v>
      </c>
      <c r="J421" s="85">
        <v>2</v>
      </c>
    </row>
    <row r="422" spans="1:10" ht="16" customHeight="1">
      <c r="A422" s="85">
        <v>3101421</v>
      </c>
      <c r="B422" s="85" t="s">
        <v>255</v>
      </c>
      <c r="C422" s="85" t="s">
        <v>268</v>
      </c>
      <c r="D422" s="85" t="s">
        <v>18</v>
      </c>
      <c r="E422" s="85" t="s">
        <v>39</v>
      </c>
      <c r="F422" s="85" t="s">
        <v>14</v>
      </c>
      <c r="G422" s="85" t="s">
        <v>15</v>
      </c>
      <c r="H422" s="86">
        <v>46260</v>
      </c>
      <c r="I422" s="85">
        <v>470000</v>
      </c>
      <c r="J422" s="85">
        <v>1</v>
      </c>
    </row>
    <row r="423" spans="1:10" ht="16" customHeight="1">
      <c r="A423" s="85">
        <v>3101422</v>
      </c>
      <c r="B423" s="85" t="s">
        <v>286</v>
      </c>
      <c r="C423" s="85" t="s">
        <v>268</v>
      </c>
      <c r="D423" s="85" t="s">
        <v>12</v>
      </c>
      <c r="E423" s="85" t="s">
        <v>36</v>
      </c>
      <c r="F423" s="85" t="s">
        <v>24</v>
      </c>
      <c r="G423" s="85" t="s">
        <v>21</v>
      </c>
      <c r="H423" s="86">
        <v>46226</v>
      </c>
      <c r="I423" s="85">
        <v>865000</v>
      </c>
      <c r="J423" s="85">
        <v>4</v>
      </c>
    </row>
    <row r="424" spans="1:10" ht="16" customHeight="1">
      <c r="A424" s="85">
        <v>3101423</v>
      </c>
      <c r="B424" s="85" t="s">
        <v>291</v>
      </c>
      <c r="C424" s="85" t="s">
        <v>11</v>
      </c>
      <c r="D424" s="85" t="s">
        <v>12</v>
      </c>
      <c r="E424" s="85" t="s">
        <v>261</v>
      </c>
      <c r="F424" s="85" t="s">
        <v>34</v>
      </c>
      <c r="G424" s="85" t="s">
        <v>15</v>
      </c>
      <c r="H424" s="86">
        <v>46207</v>
      </c>
      <c r="I424" s="85">
        <v>445000</v>
      </c>
      <c r="J424" s="85">
        <v>5</v>
      </c>
    </row>
    <row r="425" spans="1:10" ht="16" customHeight="1">
      <c r="A425" s="85">
        <v>3101424</v>
      </c>
      <c r="B425" s="85" t="s">
        <v>289</v>
      </c>
      <c r="C425" s="85" t="s">
        <v>17</v>
      </c>
      <c r="D425" s="85" t="s">
        <v>12</v>
      </c>
      <c r="E425" s="85" t="s">
        <v>265</v>
      </c>
      <c r="F425" s="85" t="s">
        <v>14</v>
      </c>
      <c r="G425" s="85" t="s">
        <v>15</v>
      </c>
      <c r="H425" s="86">
        <v>46184</v>
      </c>
      <c r="I425" s="85">
        <v>570000</v>
      </c>
      <c r="J425" s="85">
        <v>3</v>
      </c>
    </row>
    <row r="426" spans="1:10" ht="16" customHeight="1">
      <c r="A426" s="85">
        <v>3101425</v>
      </c>
      <c r="B426" s="85" t="s">
        <v>269</v>
      </c>
      <c r="C426" s="85" t="s">
        <v>11</v>
      </c>
      <c r="D426" s="85" t="s">
        <v>32</v>
      </c>
      <c r="E426" s="85" t="s">
        <v>33</v>
      </c>
      <c r="F426" s="85" t="s">
        <v>14</v>
      </c>
      <c r="G426" s="85" t="s">
        <v>21</v>
      </c>
      <c r="H426" s="86">
        <v>46229</v>
      </c>
      <c r="I426" s="85">
        <v>345000</v>
      </c>
      <c r="J426" s="85">
        <v>5</v>
      </c>
    </row>
    <row r="427" spans="1:10" ht="16" customHeight="1">
      <c r="A427" s="85">
        <v>3101426</v>
      </c>
      <c r="B427" s="85" t="s">
        <v>310</v>
      </c>
      <c r="C427" s="85" t="s">
        <v>11</v>
      </c>
      <c r="D427" s="85" t="s">
        <v>28</v>
      </c>
      <c r="E427" s="85" t="s">
        <v>29</v>
      </c>
      <c r="F427" s="85" t="s">
        <v>20</v>
      </c>
      <c r="G427" s="85" t="s">
        <v>25</v>
      </c>
      <c r="H427" s="86">
        <v>46175</v>
      </c>
      <c r="I427" s="85">
        <v>355000</v>
      </c>
      <c r="J427" s="85">
        <v>1</v>
      </c>
    </row>
    <row r="428" spans="1:10" ht="16" customHeight="1">
      <c r="A428" s="85">
        <v>3101427</v>
      </c>
      <c r="B428" s="85" t="s">
        <v>269</v>
      </c>
      <c r="C428" s="85" t="s">
        <v>258</v>
      </c>
      <c r="D428" s="85" t="s">
        <v>32</v>
      </c>
      <c r="E428" s="85" t="s">
        <v>33</v>
      </c>
      <c r="F428" s="85" t="s">
        <v>34</v>
      </c>
      <c r="G428" s="85" t="s">
        <v>256</v>
      </c>
      <c r="H428" s="86">
        <v>46251</v>
      </c>
      <c r="I428" s="85">
        <v>435000</v>
      </c>
      <c r="J428" s="85">
        <v>5</v>
      </c>
    </row>
    <row r="429" spans="1:10" ht="16" customHeight="1">
      <c r="A429" s="85">
        <v>3101428</v>
      </c>
      <c r="B429" s="85" t="s">
        <v>257</v>
      </c>
      <c r="C429" s="85" t="s">
        <v>17</v>
      </c>
      <c r="D429" s="85" t="s">
        <v>28</v>
      </c>
      <c r="E429" s="85" t="s">
        <v>297</v>
      </c>
      <c r="F429" s="85" t="s">
        <v>34</v>
      </c>
      <c r="G429" s="85" t="s">
        <v>21</v>
      </c>
      <c r="H429" s="86">
        <v>46207</v>
      </c>
      <c r="I429" s="85">
        <v>415000</v>
      </c>
      <c r="J429" s="85">
        <v>1</v>
      </c>
    </row>
    <row r="430" spans="1:10" ht="16" customHeight="1">
      <c r="A430" s="85">
        <v>3101429</v>
      </c>
      <c r="B430" s="85" t="s">
        <v>266</v>
      </c>
      <c r="C430" s="85" t="s">
        <v>268</v>
      </c>
      <c r="D430" s="85" t="s">
        <v>28</v>
      </c>
      <c r="E430" s="85" t="s">
        <v>297</v>
      </c>
      <c r="F430" s="85" t="s">
        <v>24</v>
      </c>
      <c r="G430" s="85" t="s">
        <v>25</v>
      </c>
      <c r="H430" s="86">
        <v>46226</v>
      </c>
      <c r="I430" s="85">
        <v>480000</v>
      </c>
      <c r="J430" s="85">
        <v>3</v>
      </c>
    </row>
    <row r="431" spans="1:10" ht="16" customHeight="1">
      <c r="A431" s="85">
        <v>3101430</v>
      </c>
      <c r="B431" s="85" t="s">
        <v>257</v>
      </c>
      <c r="C431" s="85" t="s">
        <v>11</v>
      </c>
      <c r="D431" s="85" t="s">
        <v>18</v>
      </c>
      <c r="E431" s="85" t="s">
        <v>39</v>
      </c>
      <c r="F431" s="85" t="s">
        <v>14</v>
      </c>
      <c r="G431" s="85" t="s">
        <v>15</v>
      </c>
      <c r="H431" s="86">
        <v>46285</v>
      </c>
      <c r="I431" s="85">
        <v>330000</v>
      </c>
      <c r="J431" s="85">
        <v>1</v>
      </c>
    </row>
    <row r="432" spans="1:10" ht="16" customHeight="1">
      <c r="A432" s="85">
        <v>3101431</v>
      </c>
      <c r="B432" s="85" t="s">
        <v>255</v>
      </c>
      <c r="C432" s="85" t="s">
        <v>260</v>
      </c>
      <c r="D432" s="85" t="s">
        <v>12</v>
      </c>
      <c r="E432" s="85" t="s">
        <v>303</v>
      </c>
      <c r="F432" s="85" t="s">
        <v>34</v>
      </c>
      <c r="G432" s="85" t="s">
        <v>25</v>
      </c>
      <c r="H432" s="86">
        <v>46229</v>
      </c>
      <c r="I432" s="85">
        <v>895000</v>
      </c>
      <c r="J432" s="85">
        <v>1</v>
      </c>
    </row>
    <row r="433" spans="1:10" ht="16" customHeight="1">
      <c r="A433" s="85">
        <v>3101432</v>
      </c>
      <c r="B433" s="85" t="s">
        <v>296</v>
      </c>
      <c r="C433" s="85" t="s">
        <v>264</v>
      </c>
      <c r="D433" s="85" t="s">
        <v>12</v>
      </c>
      <c r="E433" s="85" t="s">
        <v>13</v>
      </c>
      <c r="F433" s="85" t="s">
        <v>20</v>
      </c>
      <c r="G433" s="85" t="s">
        <v>21</v>
      </c>
      <c r="H433" s="86">
        <v>46195</v>
      </c>
      <c r="I433" s="85">
        <v>465000</v>
      </c>
      <c r="J433" s="85">
        <v>4</v>
      </c>
    </row>
    <row r="434" spans="1:10" ht="16" customHeight="1">
      <c r="A434" s="85">
        <v>3101433</v>
      </c>
      <c r="B434" s="85" t="s">
        <v>271</v>
      </c>
      <c r="C434" s="85" t="s">
        <v>11</v>
      </c>
      <c r="D434" s="85" t="s">
        <v>12</v>
      </c>
      <c r="E434" s="85" t="s">
        <v>303</v>
      </c>
      <c r="F434" s="85" t="s">
        <v>14</v>
      </c>
      <c r="G434" s="85" t="s">
        <v>21</v>
      </c>
      <c r="H434" s="86">
        <v>46200</v>
      </c>
      <c r="I434" s="85">
        <v>565000</v>
      </c>
      <c r="J434" s="85">
        <v>4</v>
      </c>
    </row>
    <row r="435" spans="1:10" ht="16" customHeight="1">
      <c r="A435" s="85">
        <v>3101434</v>
      </c>
      <c r="B435" s="85" t="s">
        <v>282</v>
      </c>
      <c r="C435" s="85" t="s">
        <v>258</v>
      </c>
      <c r="D435" s="85" t="s">
        <v>12</v>
      </c>
      <c r="E435" s="85" t="s">
        <v>261</v>
      </c>
      <c r="F435" s="85" t="s">
        <v>14</v>
      </c>
      <c r="G435" s="85" t="s">
        <v>15</v>
      </c>
      <c r="H435" s="86">
        <v>46214</v>
      </c>
      <c r="I435" s="85">
        <v>430000</v>
      </c>
      <c r="J435" s="85">
        <v>5</v>
      </c>
    </row>
    <row r="436" spans="1:10" ht="16" customHeight="1">
      <c r="A436" s="85">
        <v>3101435</v>
      </c>
      <c r="B436" s="85" t="s">
        <v>304</v>
      </c>
      <c r="C436" s="85" t="s">
        <v>264</v>
      </c>
      <c r="D436" s="85" t="s">
        <v>12</v>
      </c>
      <c r="E436" s="85" t="s">
        <v>23</v>
      </c>
      <c r="F436" s="85" t="s">
        <v>24</v>
      </c>
      <c r="G436" s="85" t="s">
        <v>15</v>
      </c>
      <c r="H436" s="86">
        <v>46286</v>
      </c>
      <c r="I436" s="85">
        <v>435000</v>
      </c>
      <c r="J436" s="85">
        <v>5</v>
      </c>
    </row>
    <row r="437" spans="1:10" ht="16" customHeight="1">
      <c r="A437" s="85">
        <v>3101436</v>
      </c>
      <c r="B437" s="85" t="s">
        <v>282</v>
      </c>
      <c r="C437" s="85" t="s">
        <v>258</v>
      </c>
      <c r="D437" s="85" t="s">
        <v>32</v>
      </c>
      <c r="E437" s="85" t="s">
        <v>33</v>
      </c>
      <c r="F437" s="85" t="s">
        <v>14</v>
      </c>
      <c r="G437" s="85" t="s">
        <v>15</v>
      </c>
      <c r="H437" s="86">
        <v>46241</v>
      </c>
      <c r="I437" s="85">
        <v>370000</v>
      </c>
      <c r="J437" s="85">
        <v>1</v>
      </c>
    </row>
    <row r="438" spans="1:10" ht="16" customHeight="1">
      <c r="A438" s="85">
        <v>3101437</v>
      </c>
      <c r="B438" s="85" t="s">
        <v>253</v>
      </c>
      <c r="C438" s="85" t="s">
        <v>260</v>
      </c>
      <c r="D438" s="85" t="s">
        <v>28</v>
      </c>
      <c r="E438" s="85" t="s">
        <v>29</v>
      </c>
      <c r="F438" s="85" t="s">
        <v>24</v>
      </c>
      <c r="G438" s="85" t="s">
        <v>25</v>
      </c>
      <c r="H438" s="86">
        <v>46273</v>
      </c>
      <c r="I438" s="85">
        <v>445000</v>
      </c>
      <c r="J438" s="85">
        <v>2</v>
      </c>
    </row>
    <row r="439" spans="1:10" ht="16" customHeight="1">
      <c r="A439" s="85">
        <v>3101438</v>
      </c>
      <c r="B439" s="85" t="s">
        <v>275</v>
      </c>
      <c r="C439" s="85" t="s">
        <v>17</v>
      </c>
      <c r="D439" s="85" t="s">
        <v>12</v>
      </c>
      <c r="E439" s="85" t="s">
        <v>265</v>
      </c>
      <c r="F439" s="85" t="s">
        <v>14</v>
      </c>
      <c r="G439" s="85" t="s">
        <v>21</v>
      </c>
      <c r="H439" s="86">
        <v>46254</v>
      </c>
      <c r="I439" s="85">
        <v>470000</v>
      </c>
      <c r="J439" s="85">
        <v>5</v>
      </c>
    </row>
    <row r="440" spans="1:10" ht="16" customHeight="1">
      <c r="A440" s="85">
        <v>3101439</v>
      </c>
      <c r="B440" s="85" t="s">
        <v>307</v>
      </c>
      <c r="C440" s="85" t="s">
        <v>268</v>
      </c>
      <c r="D440" s="85" t="s">
        <v>28</v>
      </c>
      <c r="E440" s="85" t="s">
        <v>29</v>
      </c>
      <c r="F440" s="85" t="s">
        <v>34</v>
      </c>
      <c r="G440" s="85" t="s">
        <v>15</v>
      </c>
      <c r="H440" s="86">
        <v>46182</v>
      </c>
      <c r="I440" s="85">
        <v>405000</v>
      </c>
      <c r="J440" s="85">
        <v>3</v>
      </c>
    </row>
    <row r="441" spans="1:10" ht="16" customHeight="1">
      <c r="A441" s="85">
        <v>3101440</v>
      </c>
      <c r="B441" s="85" t="s">
        <v>281</v>
      </c>
      <c r="C441" s="85" t="s">
        <v>268</v>
      </c>
      <c r="D441" s="85" t="s">
        <v>12</v>
      </c>
      <c r="E441" s="85" t="s">
        <v>13</v>
      </c>
      <c r="F441" s="85" t="s">
        <v>24</v>
      </c>
      <c r="G441" s="85" t="s">
        <v>15</v>
      </c>
      <c r="H441" s="86">
        <v>46254</v>
      </c>
      <c r="I441" s="85">
        <v>590000</v>
      </c>
      <c r="J441" s="85">
        <v>4</v>
      </c>
    </row>
    <row r="442" spans="1:10" ht="16" customHeight="1">
      <c r="A442" s="85">
        <v>3101441</v>
      </c>
      <c r="B442" s="85" t="s">
        <v>310</v>
      </c>
      <c r="C442" s="85" t="s">
        <v>264</v>
      </c>
      <c r="D442" s="85" t="s">
        <v>12</v>
      </c>
      <c r="E442" s="85" t="s">
        <v>265</v>
      </c>
      <c r="F442" s="85" t="s">
        <v>20</v>
      </c>
      <c r="G442" s="85" t="s">
        <v>21</v>
      </c>
      <c r="H442" s="86">
        <v>46179</v>
      </c>
      <c r="I442" s="85">
        <v>700000</v>
      </c>
      <c r="J442" s="85">
        <v>1</v>
      </c>
    </row>
    <row r="443" spans="1:10" ht="16" customHeight="1">
      <c r="A443" s="85">
        <v>3101442</v>
      </c>
      <c r="B443" s="85" t="s">
        <v>314</v>
      </c>
      <c r="C443" s="85" t="s">
        <v>264</v>
      </c>
      <c r="D443" s="85" t="s">
        <v>18</v>
      </c>
      <c r="E443" s="85" t="s">
        <v>19</v>
      </c>
      <c r="F443" s="85" t="s">
        <v>24</v>
      </c>
      <c r="G443" s="85" t="s">
        <v>21</v>
      </c>
      <c r="H443" s="86">
        <v>46179</v>
      </c>
      <c r="I443" s="85">
        <v>405000</v>
      </c>
      <c r="J443" s="85">
        <v>3</v>
      </c>
    </row>
    <row r="444" spans="1:10" ht="16" customHeight="1">
      <c r="A444" s="85">
        <v>3101443</v>
      </c>
      <c r="B444" s="85" t="s">
        <v>257</v>
      </c>
      <c r="C444" s="85" t="s">
        <v>258</v>
      </c>
      <c r="D444" s="85" t="s">
        <v>12</v>
      </c>
      <c r="E444" s="85" t="s">
        <v>13</v>
      </c>
      <c r="F444" s="85" t="s">
        <v>24</v>
      </c>
      <c r="G444" s="85" t="s">
        <v>25</v>
      </c>
      <c r="H444" s="86">
        <v>46209</v>
      </c>
      <c r="I444" s="85">
        <v>510000</v>
      </c>
      <c r="J444" s="85">
        <v>4</v>
      </c>
    </row>
    <row r="445" spans="1:10" ht="16" customHeight="1">
      <c r="A445" s="85">
        <v>3101444</v>
      </c>
      <c r="B445" s="85" t="s">
        <v>274</v>
      </c>
      <c r="C445" s="85" t="s">
        <v>27</v>
      </c>
      <c r="D445" s="85" t="s">
        <v>12</v>
      </c>
      <c r="E445" s="85" t="s">
        <v>265</v>
      </c>
      <c r="F445" s="85" t="s">
        <v>20</v>
      </c>
      <c r="G445" s="85" t="s">
        <v>256</v>
      </c>
      <c r="H445" s="86">
        <v>46243</v>
      </c>
      <c r="I445" s="85">
        <v>445000</v>
      </c>
      <c r="J445" s="85">
        <v>5</v>
      </c>
    </row>
    <row r="446" spans="1:10" ht="16" customHeight="1">
      <c r="A446" s="85">
        <v>3101445</v>
      </c>
      <c r="B446" s="85" t="s">
        <v>290</v>
      </c>
      <c r="C446" s="85" t="s">
        <v>17</v>
      </c>
      <c r="D446" s="85" t="s">
        <v>28</v>
      </c>
      <c r="E446" s="85" t="s">
        <v>297</v>
      </c>
      <c r="F446" s="85" t="s">
        <v>34</v>
      </c>
      <c r="G446" s="85" t="s">
        <v>25</v>
      </c>
      <c r="H446" s="86">
        <v>46164</v>
      </c>
      <c r="I446" s="85">
        <v>460000</v>
      </c>
      <c r="J446" s="85">
        <v>0</v>
      </c>
    </row>
    <row r="447" spans="1:10" ht="16" customHeight="1">
      <c r="A447" s="85">
        <v>3101446</v>
      </c>
      <c r="B447" s="85" t="s">
        <v>45</v>
      </c>
      <c r="C447" s="85" t="s">
        <v>260</v>
      </c>
      <c r="D447" s="85" t="s">
        <v>18</v>
      </c>
      <c r="E447" s="85" t="s">
        <v>39</v>
      </c>
      <c r="F447" s="85" t="s">
        <v>14</v>
      </c>
      <c r="G447" s="85" t="s">
        <v>25</v>
      </c>
      <c r="H447" s="86">
        <v>46213</v>
      </c>
      <c r="I447" s="85">
        <v>485000</v>
      </c>
      <c r="J447" s="85">
        <v>3</v>
      </c>
    </row>
    <row r="448" spans="1:10" ht="16" customHeight="1">
      <c r="A448" s="85">
        <v>3101447</v>
      </c>
      <c r="B448" s="85" t="s">
        <v>253</v>
      </c>
      <c r="C448" s="85" t="s">
        <v>264</v>
      </c>
      <c r="D448" s="85" t="s">
        <v>32</v>
      </c>
      <c r="E448" s="85" t="s">
        <v>33</v>
      </c>
      <c r="F448" s="85" t="s">
        <v>24</v>
      </c>
      <c r="G448" s="85" t="s">
        <v>25</v>
      </c>
      <c r="H448" s="86">
        <v>46180</v>
      </c>
      <c r="I448" s="85">
        <v>385000</v>
      </c>
      <c r="J448" s="85">
        <v>4</v>
      </c>
    </row>
    <row r="449" spans="1:10" ht="16" customHeight="1">
      <c r="A449" s="85">
        <v>3101448</v>
      </c>
      <c r="B449" s="85" t="s">
        <v>289</v>
      </c>
      <c r="C449" s="85" t="s">
        <v>264</v>
      </c>
      <c r="D449" s="85" t="s">
        <v>18</v>
      </c>
      <c r="E449" s="85" t="s">
        <v>39</v>
      </c>
      <c r="F449" s="85" t="s">
        <v>24</v>
      </c>
      <c r="G449" s="85" t="s">
        <v>256</v>
      </c>
      <c r="H449" s="86">
        <v>46191</v>
      </c>
      <c r="I449" s="85">
        <v>440000</v>
      </c>
      <c r="J449" s="85">
        <v>1</v>
      </c>
    </row>
    <row r="450" spans="1:10" ht="16" customHeight="1">
      <c r="A450" s="85">
        <v>3101449</v>
      </c>
      <c r="B450" s="85" t="s">
        <v>255</v>
      </c>
      <c r="C450" s="85" t="s">
        <v>17</v>
      </c>
      <c r="D450" s="85" t="s">
        <v>12</v>
      </c>
      <c r="E450" s="85" t="s">
        <v>13</v>
      </c>
      <c r="F450" s="85" t="s">
        <v>34</v>
      </c>
      <c r="G450" s="85" t="s">
        <v>15</v>
      </c>
      <c r="H450" s="86">
        <v>46162</v>
      </c>
      <c r="I450" s="85">
        <v>565000</v>
      </c>
      <c r="J450" s="85">
        <v>3</v>
      </c>
    </row>
    <row r="451" spans="1:10" ht="16" customHeight="1">
      <c r="A451" s="85">
        <v>3101450</v>
      </c>
      <c r="B451" s="85" t="s">
        <v>273</v>
      </c>
      <c r="C451" s="85" t="s">
        <v>27</v>
      </c>
      <c r="D451" s="85" t="s">
        <v>28</v>
      </c>
      <c r="E451" s="85" t="s">
        <v>297</v>
      </c>
      <c r="F451" s="85" t="s">
        <v>20</v>
      </c>
      <c r="G451" s="85" t="s">
        <v>256</v>
      </c>
      <c r="H451" s="86">
        <v>46181</v>
      </c>
      <c r="I451" s="85">
        <v>510000</v>
      </c>
      <c r="J451" s="85">
        <v>0</v>
      </c>
    </row>
    <row r="452" spans="1:10" ht="16" customHeight="1">
      <c r="A452" s="85">
        <v>3101451</v>
      </c>
      <c r="B452" s="85" t="s">
        <v>169</v>
      </c>
      <c r="C452" s="85" t="s">
        <v>17</v>
      </c>
      <c r="D452" s="85" t="s">
        <v>12</v>
      </c>
      <c r="E452" s="85" t="s">
        <v>261</v>
      </c>
      <c r="F452" s="85" t="s">
        <v>34</v>
      </c>
      <c r="G452" s="85" t="s">
        <v>25</v>
      </c>
      <c r="H452" s="86">
        <v>46170</v>
      </c>
      <c r="I452" s="85">
        <v>505000</v>
      </c>
      <c r="J452" s="85">
        <v>1</v>
      </c>
    </row>
    <row r="453" spans="1:10" ht="16" customHeight="1">
      <c r="A453" s="85">
        <v>3101452</v>
      </c>
      <c r="B453" s="85" t="s">
        <v>255</v>
      </c>
      <c r="C453" s="85" t="s">
        <v>264</v>
      </c>
      <c r="D453" s="85" t="s">
        <v>32</v>
      </c>
      <c r="E453" s="85" t="s">
        <v>300</v>
      </c>
      <c r="F453" s="85" t="s">
        <v>20</v>
      </c>
      <c r="G453" s="85" t="s">
        <v>21</v>
      </c>
      <c r="H453" s="86">
        <v>46210</v>
      </c>
      <c r="I453" s="85">
        <v>345000</v>
      </c>
      <c r="J453" s="85">
        <v>5</v>
      </c>
    </row>
    <row r="454" spans="1:10" ht="16" customHeight="1">
      <c r="A454" s="85">
        <v>3101453</v>
      </c>
      <c r="B454" s="85" t="s">
        <v>259</v>
      </c>
      <c r="C454" s="85" t="s">
        <v>11</v>
      </c>
      <c r="D454" s="85" t="s">
        <v>12</v>
      </c>
      <c r="E454" s="85" t="s">
        <v>303</v>
      </c>
      <c r="F454" s="85" t="s">
        <v>34</v>
      </c>
      <c r="G454" s="85" t="s">
        <v>256</v>
      </c>
      <c r="H454" s="86">
        <v>46285</v>
      </c>
      <c r="I454" s="85">
        <v>705000</v>
      </c>
      <c r="J454" s="85">
        <v>4</v>
      </c>
    </row>
    <row r="455" spans="1:10" ht="16" customHeight="1">
      <c r="A455" s="85">
        <v>3101454</v>
      </c>
      <c r="B455" s="85" t="s">
        <v>306</v>
      </c>
      <c r="C455" s="85" t="s">
        <v>260</v>
      </c>
      <c r="D455" s="85" t="s">
        <v>32</v>
      </c>
      <c r="E455" s="85" t="s">
        <v>33</v>
      </c>
      <c r="F455" s="85" t="s">
        <v>24</v>
      </c>
      <c r="G455" s="85" t="s">
        <v>15</v>
      </c>
      <c r="H455" s="86">
        <v>46287</v>
      </c>
      <c r="I455" s="85">
        <v>310000</v>
      </c>
      <c r="J455" s="85">
        <v>3</v>
      </c>
    </row>
    <row r="456" spans="1:10" ht="16" customHeight="1">
      <c r="A456" s="85">
        <v>3101455</v>
      </c>
      <c r="B456" s="85" t="s">
        <v>307</v>
      </c>
      <c r="C456" s="85" t="s">
        <v>27</v>
      </c>
      <c r="D456" s="85" t="s">
        <v>12</v>
      </c>
      <c r="E456" s="85" t="s">
        <v>303</v>
      </c>
      <c r="F456" s="85" t="s">
        <v>20</v>
      </c>
      <c r="G456" s="85" t="s">
        <v>25</v>
      </c>
      <c r="H456" s="86">
        <v>46221</v>
      </c>
      <c r="I456" s="85">
        <v>875000</v>
      </c>
      <c r="J456" s="85">
        <v>5</v>
      </c>
    </row>
    <row r="457" spans="1:10" ht="16" customHeight="1">
      <c r="A457" s="85">
        <v>3101456</v>
      </c>
      <c r="B457" s="85" t="s">
        <v>252</v>
      </c>
      <c r="C457" s="85" t="s">
        <v>11</v>
      </c>
      <c r="D457" s="85" t="s">
        <v>28</v>
      </c>
      <c r="E457" s="85" t="s">
        <v>297</v>
      </c>
      <c r="F457" s="85" t="s">
        <v>14</v>
      </c>
      <c r="G457" s="85" t="s">
        <v>15</v>
      </c>
      <c r="H457" s="86">
        <v>46206</v>
      </c>
      <c r="I457" s="85">
        <v>475000</v>
      </c>
      <c r="J457" s="85">
        <v>5</v>
      </c>
    </row>
    <row r="458" spans="1:10" ht="16" customHeight="1">
      <c r="A458" s="85">
        <v>3101457</v>
      </c>
      <c r="B458" s="85" t="s">
        <v>293</v>
      </c>
      <c r="C458" s="85" t="s">
        <v>258</v>
      </c>
      <c r="D458" s="85" t="s">
        <v>18</v>
      </c>
      <c r="E458" s="85" t="s">
        <v>19</v>
      </c>
      <c r="F458" s="85" t="s">
        <v>20</v>
      </c>
      <c r="G458" s="85" t="s">
        <v>15</v>
      </c>
      <c r="H458" s="86">
        <v>46261</v>
      </c>
      <c r="I458" s="85">
        <v>470000</v>
      </c>
      <c r="J458" s="85">
        <v>5</v>
      </c>
    </row>
    <row r="459" spans="1:10" ht="16" customHeight="1">
      <c r="A459" s="85">
        <v>3101458</v>
      </c>
      <c r="B459" s="85" t="s">
        <v>294</v>
      </c>
      <c r="C459" s="85" t="s">
        <v>11</v>
      </c>
      <c r="D459" s="85" t="s">
        <v>28</v>
      </c>
      <c r="E459" s="85" t="s">
        <v>29</v>
      </c>
      <c r="F459" s="85" t="s">
        <v>34</v>
      </c>
      <c r="G459" s="85" t="s">
        <v>15</v>
      </c>
      <c r="H459" s="86">
        <v>46206</v>
      </c>
      <c r="I459" s="85">
        <v>410000</v>
      </c>
      <c r="J459" s="85">
        <v>5</v>
      </c>
    </row>
    <row r="460" spans="1:10" ht="16" customHeight="1">
      <c r="A460" s="85">
        <v>3101459</v>
      </c>
      <c r="B460" s="85" t="s">
        <v>311</v>
      </c>
      <c r="C460" s="85" t="s">
        <v>260</v>
      </c>
      <c r="D460" s="85" t="s">
        <v>18</v>
      </c>
      <c r="E460" s="85" t="s">
        <v>19</v>
      </c>
      <c r="F460" s="85" t="s">
        <v>34</v>
      </c>
      <c r="G460" s="85" t="s">
        <v>15</v>
      </c>
      <c r="H460" s="86">
        <v>46280</v>
      </c>
      <c r="I460" s="85">
        <v>460000</v>
      </c>
      <c r="J460" s="85">
        <v>0</v>
      </c>
    </row>
    <row r="461" spans="1:10" ht="16" customHeight="1">
      <c r="A461" s="85">
        <v>3101460</v>
      </c>
      <c r="B461" s="85" t="s">
        <v>305</v>
      </c>
      <c r="C461" s="85" t="s">
        <v>27</v>
      </c>
      <c r="D461" s="85" t="s">
        <v>12</v>
      </c>
      <c r="E461" s="85" t="s">
        <v>13</v>
      </c>
      <c r="F461" s="85" t="s">
        <v>20</v>
      </c>
      <c r="G461" s="85" t="s">
        <v>25</v>
      </c>
      <c r="H461" s="86">
        <v>46164</v>
      </c>
      <c r="I461" s="85">
        <v>530000</v>
      </c>
      <c r="J461" s="85">
        <v>4</v>
      </c>
    </row>
    <row r="462" spans="1:10" ht="16" customHeight="1">
      <c r="A462" s="85">
        <v>3101461</v>
      </c>
      <c r="B462" s="85" t="s">
        <v>281</v>
      </c>
      <c r="C462" s="85" t="s">
        <v>17</v>
      </c>
      <c r="D462" s="85" t="s">
        <v>12</v>
      </c>
      <c r="E462" s="85" t="s">
        <v>13</v>
      </c>
      <c r="F462" s="85" t="s">
        <v>14</v>
      </c>
      <c r="G462" s="85" t="s">
        <v>21</v>
      </c>
      <c r="H462" s="86">
        <v>46182</v>
      </c>
      <c r="I462" s="85">
        <v>560000</v>
      </c>
      <c r="J462" s="85">
        <v>2</v>
      </c>
    </row>
    <row r="463" spans="1:10" ht="16" customHeight="1">
      <c r="A463" s="85">
        <v>3101462</v>
      </c>
      <c r="B463" s="85" t="s">
        <v>277</v>
      </c>
      <c r="C463" s="85" t="s">
        <v>11</v>
      </c>
      <c r="D463" s="85" t="s">
        <v>28</v>
      </c>
      <c r="E463" s="85" t="s">
        <v>297</v>
      </c>
      <c r="F463" s="85" t="s">
        <v>34</v>
      </c>
      <c r="G463" s="85" t="s">
        <v>25</v>
      </c>
      <c r="H463" s="86">
        <v>46211</v>
      </c>
      <c r="I463" s="85">
        <v>425000</v>
      </c>
      <c r="J463" s="85">
        <v>5</v>
      </c>
    </row>
    <row r="464" spans="1:10" ht="16" customHeight="1">
      <c r="A464" s="85">
        <v>3101463</v>
      </c>
      <c r="B464" s="85" t="s">
        <v>293</v>
      </c>
      <c r="C464" s="85" t="s">
        <v>11</v>
      </c>
      <c r="D464" s="85" t="s">
        <v>32</v>
      </c>
      <c r="E464" s="85" t="s">
        <v>33</v>
      </c>
      <c r="F464" s="85" t="s">
        <v>24</v>
      </c>
      <c r="G464" s="85" t="s">
        <v>256</v>
      </c>
      <c r="H464" s="86">
        <v>46167</v>
      </c>
      <c r="I464" s="85">
        <v>280000</v>
      </c>
      <c r="J464" s="85">
        <v>0</v>
      </c>
    </row>
    <row r="465" spans="1:10" ht="16" customHeight="1">
      <c r="A465" s="85">
        <v>3101464</v>
      </c>
      <c r="B465" s="85" t="s">
        <v>283</v>
      </c>
      <c r="C465" s="85" t="s">
        <v>11</v>
      </c>
      <c r="D465" s="85" t="s">
        <v>12</v>
      </c>
      <c r="E465" s="85" t="s">
        <v>303</v>
      </c>
      <c r="F465" s="85" t="s">
        <v>20</v>
      </c>
      <c r="G465" s="85" t="s">
        <v>25</v>
      </c>
      <c r="H465" s="86">
        <v>46220</v>
      </c>
      <c r="I465" s="85">
        <v>835000</v>
      </c>
      <c r="J465" s="85">
        <v>2</v>
      </c>
    </row>
    <row r="466" spans="1:10" ht="16" customHeight="1">
      <c r="A466" s="85">
        <v>3101465</v>
      </c>
      <c r="B466" s="85" t="s">
        <v>309</v>
      </c>
      <c r="C466" s="85" t="s">
        <v>11</v>
      </c>
      <c r="D466" s="85" t="s">
        <v>28</v>
      </c>
      <c r="E466" s="85" t="s">
        <v>297</v>
      </c>
      <c r="F466" s="85" t="s">
        <v>14</v>
      </c>
      <c r="G466" s="85" t="s">
        <v>256</v>
      </c>
      <c r="H466" s="86">
        <v>46243</v>
      </c>
      <c r="I466" s="85">
        <v>505000</v>
      </c>
      <c r="J466" s="85">
        <v>2</v>
      </c>
    </row>
    <row r="467" spans="1:10" ht="16" customHeight="1">
      <c r="A467" s="85">
        <v>3101466</v>
      </c>
      <c r="B467" s="85" t="s">
        <v>299</v>
      </c>
      <c r="C467" s="85" t="s">
        <v>38</v>
      </c>
      <c r="D467" s="85" t="s">
        <v>12</v>
      </c>
      <c r="E467" s="85" t="s">
        <v>23</v>
      </c>
      <c r="F467" s="85" t="s">
        <v>34</v>
      </c>
      <c r="G467" s="85" t="s">
        <v>21</v>
      </c>
      <c r="H467" s="86">
        <v>46169</v>
      </c>
      <c r="I467" s="85">
        <v>625000</v>
      </c>
      <c r="J467" s="85">
        <v>2</v>
      </c>
    </row>
    <row r="468" spans="1:10" ht="16" customHeight="1">
      <c r="A468" s="85">
        <v>3101467</v>
      </c>
      <c r="B468" s="85" t="s">
        <v>272</v>
      </c>
      <c r="C468" s="85" t="s">
        <v>11</v>
      </c>
      <c r="D468" s="85" t="s">
        <v>12</v>
      </c>
      <c r="E468" s="85" t="s">
        <v>36</v>
      </c>
      <c r="F468" s="85" t="s">
        <v>34</v>
      </c>
      <c r="G468" s="85" t="s">
        <v>21</v>
      </c>
      <c r="H468" s="86">
        <v>46165</v>
      </c>
      <c r="I468" s="85">
        <v>615000</v>
      </c>
      <c r="J468" s="85">
        <v>5</v>
      </c>
    </row>
    <row r="469" spans="1:10" ht="16" customHeight="1">
      <c r="A469" s="85">
        <v>3101468</v>
      </c>
      <c r="B469" s="85" t="s">
        <v>305</v>
      </c>
      <c r="C469" s="85" t="s">
        <v>17</v>
      </c>
      <c r="D469" s="85" t="s">
        <v>28</v>
      </c>
      <c r="E469" s="85" t="s">
        <v>297</v>
      </c>
      <c r="F469" s="85" t="s">
        <v>34</v>
      </c>
      <c r="G469" s="85" t="s">
        <v>15</v>
      </c>
      <c r="H469" s="86">
        <v>46226</v>
      </c>
      <c r="I469" s="85">
        <v>485000</v>
      </c>
      <c r="J469" s="85">
        <v>2</v>
      </c>
    </row>
    <row r="470" spans="1:10" ht="16" customHeight="1">
      <c r="A470" s="85">
        <v>3101469</v>
      </c>
      <c r="B470" s="85" t="s">
        <v>259</v>
      </c>
      <c r="C470" s="85" t="s">
        <v>11</v>
      </c>
      <c r="D470" s="85" t="s">
        <v>12</v>
      </c>
      <c r="E470" s="85" t="s">
        <v>261</v>
      </c>
      <c r="F470" s="85" t="s">
        <v>24</v>
      </c>
      <c r="G470" s="85" t="s">
        <v>25</v>
      </c>
      <c r="H470" s="86">
        <v>46214</v>
      </c>
      <c r="I470" s="85">
        <v>590000</v>
      </c>
      <c r="J470" s="85">
        <v>3</v>
      </c>
    </row>
    <row r="471" spans="1:10" ht="16" customHeight="1">
      <c r="A471" s="85">
        <v>3101470</v>
      </c>
      <c r="B471" s="85" t="s">
        <v>295</v>
      </c>
      <c r="C471" s="85" t="s">
        <v>11</v>
      </c>
      <c r="D471" s="85" t="s">
        <v>12</v>
      </c>
      <c r="E471" s="85" t="s">
        <v>23</v>
      </c>
      <c r="F471" s="85" t="s">
        <v>14</v>
      </c>
      <c r="G471" s="85" t="s">
        <v>15</v>
      </c>
      <c r="H471" s="86">
        <v>46172</v>
      </c>
      <c r="I471" s="85">
        <v>635000</v>
      </c>
      <c r="J471" s="85">
        <v>5</v>
      </c>
    </row>
    <row r="472" spans="1:10" ht="16" customHeight="1">
      <c r="A472" s="85">
        <v>3101056</v>
      </c>
      <c r="B472" s="85" t="s">
        <v>308</v>
      </c>
      <c r="C472" s="85" t="s">
        <v>17</v>
      </c>
      <c r="D472" s="85" t="s">
        <v>12</v>
      </c>
      <c r="E472" s="85" t="s">
        <v>265</v>
      </c>
      <c r="F472" s="85" t="s">
        <v>14</v>
      </c>
      <c r="G472" s="85" t="s">
        <v>21</v>
      </c>
      <c r="H472" s="86">
        <v>46169</v>
      </c>
      <c r="I472" s="85">
        <v>755000</v>
      </c>
      <c r="J472" s="85">
        <v>5</v>
      </c>
    </row>
    <row r="473" spans="1:10" ht="16" customHeight="1">
      <c r="A473" s="85">
        <v>3101118</v>
      </c>
      <c r="B473" s="85" t="s">
        <v>294</v>
      </c>
      <c r="C473" s="85" t="s">
        <v>264</v>
      </c>
      <c r="D473" s="85" t="s">
        <v>12</v>
      </c>
      <c r="E473" s="85" t="s">
        <v>261</v>
      </c>
      <c r="F473" s="85" t="s">
        <v>14</v>
      </c>
      <c r="G473" s="85" t="s">
        <v>21</v>
      </c>
      <c r="H473" s="86">
        <v>46233</v>
      </c>
      <c r="I473" s="85">
        <v>680000</v>
      </c>
      <c r="J473" s="85">
        <v>4</v>
      </c>
    </row>
    <row r="474" spans="1:10" ht="16" customHeight="1">
      <c r="A474" s="85">
        <v>3101185</v>
      </c>
      <c r="B474" s="85" t="s">
        <v>169</v>
      </c>
      <c r="C474" s="85" t="s">
        <v>260</v>
      </c>
      <c r="D474" s="85" t="s">
        <v>12</v>
      </c>
      <c r="E474" s="85" t="s">
        <v>13</v>
      </c>
      <c r="F474" s="85" t="s">
        <v>14</v>
      </c>
      <c r="G474" s="85" t="s">
        <v>15</v>
      </c>
      <c r="H474" s="86">
        <v>46243</v>
      </c>
      <c r="I474" s="85">
        <v>495000</v>
      </c>
      <c r="J474" s="85">
        <v>0</v>
      </c>
    </row>
    <row r="475" spans="1:10" ht="16" customHeight="1">
      <c r="A475" s="85">
        <v>3101272</v>
      </c>
      <c r="B475" s="85" t="s">
        <v>45</v>
      </c>
      <c r="C475" s="85" t="s">
        <v>38</v>
      </c>
      <c r="D475" s="85" t="s">
        <v>12</v>
      </c>
      <c r="E475" s="85" t="s">
        <v>23</v>
      </c>
      <c r="F475" s="85" t="s">
        <v>20</v>
      </c>
      <c r="G475" s="85" t="s">
        <v>25</v>
      </c>
      <c r="H475" s="86">
        <v>46257</v>
      </c>
      <c r="I475" s="85">
        <v>520000</v>
      </c>
      <c r="J475" s="85">
        <v>3</v>
      </c>
    </row>
    <row r="476" spans="1:10" ht="16" customHeight="1">
      <c r="A476" s="85">
        <v>3101359</v>
      </c>
      <c r="B476" s="85" t="s">
        <v>299</v>
      </c>
      <c r="C476" s="85" t="s">
        <v>260</v>
      </c>
      <c r="D476" s="85" t="s">
        <v>32</v>
      </c>
      <c r="E476" s="85" t="s">
        <v>33</v>
      </c>
      <c r="F476" s="85" t="s">
        <v>24</v>
      </c>
      <c r="G476" s="85" t="s">
        <v>21</v>
      </c>
      <c r="H476" s="86">
        <v>46244</v>
      </c>
      <c r="I476" s="85">
        <v>340000</v>
      </c>
      <c r="J476" s="85">
        <v>5</v>
      </c>
    </row>
    <row r="477" spans="1:10" ht="16" customHeight="1">
      <c r="A477" s="85">
        <v>3101442</v>
      </c>
      <c r="B477" s="85" t="s">
        <v>314</v>
      </c>
      <c r="C477" s="85" t="s">
        <v>264</v>
      </c>
      <c r="D477" s="85" t="s">
        <v>18</v>
      </c>
      <c r="E477" s="85" t="s">
        <v>19</v>
      </c>
      <c r="F477" s="85" t="s">
        <v>24</v>
      </c>
      <c r="G477" s="85" t="s">
        <v>21</v>
      </c>
      <c r="H477" s="86">
        <v>46179</v>
      </c>
      <c r="I477" s="85">
        <v>405000</v>
      </c>
      <c r="J477" s="85">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420B2-554E-4C62-84A8-3E50ED422215}">
  <sheetPr>
    <tabColor theme="5" tint="0.59999389629810485"/>
  </sheetPr>
  <dimension ref="A1:R490"/>
  <sheetViews>
    <sheetView workbookViewId="0">
      <selection activeCell="F1" sqref="F1"/>
    </sheetView>
  </sheetViews>
  <sheetFormatPr defaultColWidth="13" defaultRowHeight="14.5"/>
  <cols>
    <col min="1" max="1" width="13" customWidth="1"/>
    <col min="2" max="2" width="16.7265625" customWidth="1"/>
    <col min="3" max="3" width="10.6328125" bestFit="1" customWidth="1"/>
    <col min="4" max="4" width="13.08984375" customWidth="1"/>
    <col min="5" max="5" width="18.54296875" bestFit="1" customWidth="1"/>
    <col min="6" max="6" width="16.1796875" bestFit="1" customWidth="1"/>
    <col min="7" max="7" width="8.6328125" bestFit="1" customWidth="1"/>
    <col min="8" max="8" width="16.7265625" customWidth="1"/>
    <col min="9" max="9" width="15.90625" customWidth="1"/>
    <col min="10" max="10" width="11.90625" customWidth="1"/>
    <col min="11" max="11" width="13.6328125" customWidth="1"/>
    <col min="12" max="12" width="19.81640625" customWidth="1"/>
    <col min="13" max="13" width="16.1796875" customWidth="1"/>
    <col min="14" max="14" width="11.26953125" customWidth="1"/>
    <col min="15" max="15" width="14.453125" customWidth="1"/>
    <col min="16" max="16" width="8.54296875" customWidth="1"/>
  </cols>
  <sheetData>
    <row r="1" spans="1:18">
      <c r="A1" s="113" t="s">
        <v>0</v>
      </c>
      <c r="B1" s="88" t="s">
        <v>1</v>
      </c>
      <c r="C1" s="24" t="s">
        <v>2</v>
      </c>
      <c r="D1" s="88" t="s">
        <v>3</v>
      </c>
      <c r="E1" s="24" t="s">
        <v>4</v>
      </c>
      <c r="F1" s="24" t="s">
        <v>5</v>
      </c>
      <c r="G1" s="88" t="s">
        <v>6</v>
      </c>
      <c r="H1" s="24" t="s">
        <v>7</v>
      </c>
      <c r="I1" s="89" t="s">
        <v>8</v>
      </c>
      <c r="J1" s="23" t="s">
        <v>9</v>
      </c>
      <c r="K1" s="23" t="s">
        <v>164</v>
      </c>
      <c r="L1" s="24" t="s">
        <v>180</v>
      </c>
      <c r="M1" s="22" t="s">
        <v>317</v>
      </c>
      <c r="N1" s="103" t="s">
        <v>101</v>
      </c>
      <c r="O1" s="100" t="s">
        <v>90</v>
      </c>
      <c r="P1" s="104" t="s">
        <v>133</v>
      </c>
    </row>
    <row r="2" spans="1:18">
      <c r="A2" s="114">
        <v>3101001</v>
      </c>
      <c r="B2" s="36" t="s">
        <v>10</v>
      </c>
      <c r="C2" s="53" t="s">
        <v>11</v>
      </c>
      <c r="D2" s="36" t="s">
        <v>12</v>
      </c>
      <c r="E2" s="53" t="s">
        <v>13</v>
      </c>
      <c r="F2" s="53" t="s">
        <v>14</v>
      </c>
      <c r="G2" s="36" t="s">
        <v>15</v>
      </c>
      <c r="H2" s="55">
        <v>46027</v>
      </c>
      <c r="I2" s="35">
        <v>450000</v>
      </c>
      <c r="J2" s="52">
        <v>1</v>
      </c>
      <c r="K2" s="106">
        <v>82</v>
      </c>
      <c r="L2" s="94" t="str" cm="1">
        <f t="array" ref="L2">_xlfn.IFS(J2&lt;2,"Fresher",J2&lt;=3,"Mid Level",J2&gt;3,"Experienced")</f>
        <v>Fresher</v>
      </c>
      <c r="M2" s="90" t="str" cm="1">
        <f t="array" ref="M2">_xlfn.IFS(I2&gt;=600000,"High",I2&gt;=450000,"Medium",I2&lt;450000,"Low")</f>
        <v>Medium</v>
      </c>
      <c r="N2" s="93">
        <f>IF(F2="Naukri",2%,IF(F2="LinkedIn",2%,IF(F2="Employee Referral",5%,1%)))</f>
        <v>0.02</v>
      </c>
      <c r="O2" s="101" t="str">
        <f t="shared" ref="O2:O25" si="0">IF(COUNTIF($A$2:$A$478,A2)&gt;1,"Duplicate","Unique")</f>
        <v>Unique</v>
      </c>
      <c r="P2" s="93">
        <f t="shared" ref="P2:P25" si="1">MONTH(H2)</f>
        <v>1</v>
      </c>
    </row>
    <row r="3" spans="1:18">
      <c r="A3" s="114">
        <v>3101002</v>
      </c>
      <c r="B3" s="36" t="s">
        <v>16</v>
      </c>
      <c r="C3" s="53" t="s">
        <v>17</v>
      </c>
      <c r="D3" s="36" t="s">
        <v>18</v>
      </c>
      <c r="E3" s="53" t="s">
        <v>19</v>
      </c>
      <c r="F3" s="53" t="s">
        <v>20</v>
      </c>
      <c r="G3" s="36" t="s">
        <v>21</v>
      </c>
      <c r="H3" s="55">
        <v>46034</v>
      </c>
      <c r="I3" s="35">
        <v>380000</v>
      </c>
      <c r="J3" s="52">
        <v>2</v>
      </c>
      <c r="K3" s="106">
        <v>76</v>
      </c>
      <c r="L3" s="94" t="str" cm="1">
        <f t="array" ref="L3">_xlfn.IFS(J3&lt;2,"Fresher",J3&lt;=3,"Mid Level",J3&gt;3,"Experienced")</f>
        <v>Mid Level</v>
      </c>
      <c r="M3" s="90" t="str" cm="1">
        <f t="array" ref="M3">_xlfn.IFS(I3&gt;=600000,"High",I3&gt;=450000,"Medium",I3&lt;450000,"Low")</f>
        <v>Low</v>
      </c>
      <c r="N3" s="94">
        <f t="shared" ref="N3:N5" si="2">IF(F3="Naukri",2%,IF(F3="LinkedIn",2%,IF(F3="Employee Referral",5%,1%)))</f>
        <v>0.05</v>
      </c>
      <c r="O3" s="92" t="str">
        <f t="shared" si="0"/>
        <v>Unique</v>
      </c>
      <c r="P3" s="94">
        <f t="shared" si="1"/>
        <v>1</v>
      </c>
    </row>
    <row r="4" spans="1:18">
      <c r="A4" s="114">
        <v>3101003</v>
      </c>
      <c r="B4" s="36" t="s">
        <v>22</v>
      </c>
      <c r="C4" s="53" t="s">
        <v>11</v>
      </c>
      <c r="D4" s="36" t="s">
        <v>12</v>
      </c>
      <c r="E4" s="53" t="s">
        <v>23</v>
      </c>
      <c r="F4" s="53" t="s">
        <v>24</v>
      </c>
      <c r="G4" s="36" t="s">
        <v>25</v>
      </c>
      <c r="H4" s="55">
        <v>46040</v>
      </c>
      <c r="I4" s="35">
        <v>500000</v>
      </c>
      <c r="J4" s="52">
        <v>1</v>
      </c>
      <c r="K4" s="106">
        <v>88</v>
      </c>
      <c r="L4" s="94" t="str" cm="1">
        <f t="array" ref="L4">_xlfn.IFS(J4&lt;2,"Fresher",J4&lt;=3,"Mid Level",J4&gt;3,"Experienced")</f>
        <v>Fresher</v>
      </c>
      <c r="M4" s="90" t="str" cm="1">
        <f t="array" ref="M4">_xlfn.IFS(I4&gt;=600000,"High",I4&gt;=450000,"Medium",I4&lt;450000,"Low")</f>
        <v>Medium</v>
      </c>
      <c r="N4" s="94">
        <f t="shared" si="2"/>
        <v>0.02</v>
      </c>
      <c r="O4" s="92" t="str">
        <f t="shared" si="0"/>
        <v>Unique</v>
      </c>
      <c r="P4" s="94">
        <f t="shared" si="1"/>
        <v>1</v>
      </c>
    </row>
    <row r="5" spans="1:18">
      <c r="A5" s="114">
        <v>3101004</v>
      </c>
      <c r="B5" s="36" t="s">
        <v>26</v>
      </c>
      <c r="C5" s="53" t="s">
        <v>27</v>
      </c>
      <c r="D5" s="36" t="s">
        <v>28</v>
      </c>
      <c r="E5" s="53" t="s">
        <v>29</v>
      </c>
      <c r="F5" s="53" t="s">
        <v>14</v>
      </c>
      <c r="G5" s="36" t="s">
        <v>15</v>
      </c>
      <c r="H5" s="55">
        <v>46043</v>
      </c>
      <c r="I5" s="35">
        <v>350000</v>
      </c>
      <c r="J5" s="52">
        <v>2</v>
      </c>
      <c r="K5" s="106">
        <v>91</v>
      </c>
      <c r="L5" s="94" t="str" cm="1">
        <f t="array" ref="L5">_xlfn.IFS(J5&lt;2,"Fresher",J5&lt;=3,"Mid Level",J5&gt;3,"Experienced")</f>
        <v>Mid Level</v>
      </c>
      <c r="M5" s="90" t="str" cm="1">
        <f t="array" ref="M5">_xlfn.IFS(I5&gt;=600000,"High",I5&gt;=450000,"Medium",I5&lt;450000,"Low")</f>
        <v>Low</v>
      </c>
      <c r="N5" s="94">
        <f t="shared" si="2"/>
        <v>0.02</v>
      </c>
      <c r="O5" s="92" t="str">
        <f t="shared" si="0"/>
        <v>Unique</v>
      </c>
      <c r="P5" s="94">
        <f t="shared" si="1"/>
        <v>1</v>
      </c>
    </row>
    <row r="6" spans="1:18">
      <c r="A6" s="114">
        <v>3101005</v>
      </c>
      <c r="B6" s="36" t="s">
        <v>30</v>
      </c>
      <c r="C6" s="53" t="s">
        <v>11</v>
      </c>
      <c r="D6" s="36" t="s">
        <v>12</v>
      </c>
      <c r="E6" s="53" t="s">
        <v>13</v>
      </c>
      <c r="F6" s="53" t="s">
        <v>20</v>
      </c>
      <c r="G6" s="36" t="s">
        <v>21</v>
      </c>
      <c r="H6" s="55">
        <v>46046</v>
      </c>
      <c r="I6" s="35">
        <v>420000</v>
      </c>
      <c r="J6" s="52">
        <v>1</v>
      </c>
      <c r="K6" s="106">
        <v>69</v>
      </c>
      <c r="L6" s="94" t="str" cm="1">
        <f t="array" ref="L6">_xlfn.IFS(J6&lt;2,"Fresher",J6&lt;=3,"Mid Level",J6&gt;3,"Experienced")</f>
        <v>Fresher</v>
      </c>
      <c r="M6" s="90" t="str" cm="1">
        <f t="array" ref="M6">_xlfn.IFS(I6&gt;=600000,"High",I6&gt;=450000,"Medium",I6&lt;450000,"Low")</f>
        <v>Low</v>
      </c>
      <c r="N6" s="94">
        <f t="shared" ref="N6:N25" si="3">IF(F6="Naukri",2%,IF(F6="LinkedIn",2%,IF(F6="Employee Referral",5%,1%)))</f>
        <v>0.05</v>
      </c>
      <c r="O6" s="92" t="str">
        <f t="shared" si="0"/>
        <v>Duplicate</v>
      </c>
      <c r="P6" s="94">
        <f t="shared" si="1"/>
        <v>1</v>
      </c>
    </row>
    <row r="7" spans="1:18">
      <c r="A7" s="114">
        <v>3101005</v>
      </c>
      <c r="B7" s="36" t="s">
        <v>30</v>
      </c>
      <c r="C7" s="53" t="s">
        <v>11</v>
      </c>
      <c r="D7" s="36" t="s">
        <v>12</v>
      </c>
      <c r="E7" s="53" t="s">
        <v>13</v>
      </c>
      <c r="F7" s="53" t="s">
        <v>20</v>
      </c>
      <c r="G7" s="36" t="s">
        <v>21</v>
      </c>
      <c r="H7" s="55">
        <v>46047</v>
      </c>
      <c r="I7" s="35">
        <v>420000</v>
      </c>
      <c r="J7" s="52">
        <v>1</v>
      </c>
      <c r="K7" s="106">
        <v>95</v>
      </c>
      <c r="L7" s="94" t="str" cm="1">
        <f t="array" ref="L7">_xlfn.IFS(J7&lt;2,"Fresher",J7&lt;=3,"Mid Level",J7&gt;3,"Experienced")</f>
        <v>Fresher</v>
      </c>
      <c r="M7" s="90" t="str" cm="1">
        <f t="array" ref="M7">_xlfn.IFS(I7&gt;=600000,"High",I7&gt;=450000,"Medium",I7&lt;450000,"Low")</f>
        <v>Low</v>
      </c>
      <c r="N7" s="94">
        <f t="shared" si="3"/>
        <v>0.05</v>
      </c>
      <c r="O7" s="92" t="str">
        <f t="shared" si="0"/>
        <v>Duplicate</v>
      </c>
      <c r="P7" s="94">
        <f t="shared" si="1"/>
        <v>1</v>
      </c>
      <c r="R7" s="107"/>
    </row>
    <row r="8" spans="1:18">
      <c r="A8" s="114">
        <v>3101006</v>
      </c>
      <c r="B8" s="36" t="s">
        <v>31</v>
      </c>
      <c r="C8" s="53" t="s">
        <v>17</v>
      </c>
      <c r="D8" s="36" t="s">
        <v>32</v>
      </c>
      <c r="E8" s="53" t="s">
        <v>33</v>
      </c>
      <c r="F8" s="53" t="s">
        <v>34</v>
      </c>
      <c r="G8" s="36" t="s">
        <v>25</v>
      </c>
      <c r="H8" s="55">
        <v>46055</v>
      </c>
      <c r="I8" s="35">
        <v>320000</v>
      </c>
      <c r="J8" s="52">
        <v>2</v>
      </c>
      <c r="K8" s="106">
        <v>73</v>
      </c>
      <c r="L8" s="94" t="str" cm="1">
        <f t="array" ref="L8">_xlfn.IFS(J8&lt;2,"Fresher",J8&lt;=3,"Mid Level",J8&gt;3,"Experienced")</f>
        <v>Mid Level</v>
      </c>
      <c r="M8" s="90" t="str" cm="1">
        <f t="array" ref="M8">_xlfn.IFS(I8&gt;=600000,"High",I8&gt;=450000,"Medium",I8&lt;450000,"Low")</f>
        <v>Low</v>
      </c>
      <c r="N8" s="94">
        <f t="shared" si="3"/>
        <v>0.01</v>
      </c>
      <c r="O8" s="92" t="str">
        <f t="shared" si="0"/>
        <v>Unique</v>
      </c>
      <c r="P8" s="94">
        <f t="shared" si="1"/>
        <v>2</v>
      </c>
      <c r="R8" s="107"/>
    </row>
    <row r="9" spans="1:18">
      <c r="A9" s="114">
        <v>3101007</v>
      </c>
      <c r="B9" s="36" t="s">
        <v>35</v>
      </c>
      <c r="C9" s="53" t="s">
        <v>11</v>
      </c>
      <c r="D9" s="36" t="s">
        <v>12</v>
      </c>
      <c r="E9" s="53" t="s">
        <v>36</v>
      </c>
      <c r="F9" s="53" t="s">
        <v>24</v>
      </c>
      <c r="G9" s="36" t="s">
        <v>21</v>
      </c>
      <c r="H9" s="55">
        <v>46061</v>
      </c>
      <c r="I9" s="35">
        <v>600000</v>
      </c>
      <c r="J9" s="52">
        <v>1</v>
      </c>
      <c r="K9" s="106">
        <v>84</v>
      </c>
      <c r="L9" s="94" t="str" cm="1">
        <f t="array" ref="L9">_xlfn.IFS(J9&lt;2,"Fresher",J9&lt;=3,"Mid Level",J9&gt;3,"Experienced")</f>
        <v>Fresher</v>
      </c>
      <c r="M9" s="90" t="str" cm="1">
        <f t="array" ref="M9">_xlfn.IFS(I9&gt;=600000,"High",I9&gt;=450000,"Medium",I9&lt;450000,"Low")</f>
        <v>High</v>
      </c>
      <c r="N9" s="94">
        <f t="shared" si="3"/>
        <v>0.02</v>
      </c>
      <c r="O9" s="92" t="str">
        <f t="shared" si="0"/>
        <v>Unique</v>
      </c>
      <c r="P9" s="94">
        <f t="shared" si="1"/>
        <v>2</v>
      </c>
      <c r="R9" s="107"/>
    </row>
    <row r="10" spans="1:18">
      <c r="A10" s="114">
        <v>3101008</v>
      </c>
      <c r="B10" s="36" t="s">
        <v>37</v>
      </c>
      <c r="C10" s="53" t="s">
        <v>38</v>
      </c>
      <c r="D10" s="36" t="s">
        <v>18</v>
      </c>
      <c r="E10" s="53" t="s">
        <v>39</v>
      </c>
      <c r="F10" s="53" t="s">
        <v>20</v>
      </c>
      <c r="G10" s="36" t="s">
        <v>15</v>
      </c>
      <c r="H10" s="55">
        <v>46067</v>
      </c>
      <c r="I10" s="35">
        <v>400000</v>
      </c>
      <c r="J10" s="52">
        <v>3</v>
      </c>
      <c r="K10" s="106">
        <v>79</v>
      </c>
      <c r="L10" s="94" t="str" cm="1">
        <f t="array" ref="L10">_xlfn.IFS(J10&lt;2,"Fresher",J10&lt;=3,"Mid Level",J10&gt;3,"Experienced")</f>
        <v>Mid Level</v>
      </c>
      <c r="M10" s="90" t="str" cm="1">
        <f t="array" ref="M10">_xlfn.IFS(I10&gt;=600000,"High",I10&gt;=450000,"Medium",I10&lt;450000,"Low")</f>
        <v>Low</v>
      </c>
      <c r="N10" s="94">
        <f t="shared" si="3"/>
        <v>0.05</v>
      </c>
      <c r="O10" s="92" t="str">
        <f t="shared" si="0"/>
        <v>Unique</v>
      </c>
      <c r="P10" s="94">
        <f t="shared" si="1"/>
        <v>2</v>
      </c>
      <c r="R10" s="107"/>
    </row>
    <row r="11" spans="1:18">
      <c r="A11" s="114">
        <v>3101009</v>
      </c>
      <c r="B11" s="36" t="s">
        <v>40</v>
      </c>
      <c r="C11" s="53" t="s">
        <v>11</v>
      </c>
      <c r="D11" s="36" t="s">
        <v>28</v>
      </c>
      <c r="E11" s="53" t="s">
        <v>29</v>
      </c>
      <c r="F11" s="53" t="s">
        <v>14</v>
      </c>
      <c r="G11" s="36" t="s">
        <v>25</v>
      </c>
      <c r="H11" s="55">
        <v>46073</v>
      </c>
      <c r="I11" s="35">
        <v>360000</v>
      </c>
      <c r="J11" s="52">
        <v>1</v>
      </c>
      <c r="K11" s="106">
        <v>71</v>
      </c>
      <c r="L11" s="94" t="str" cm="1">
        <f t="array" ref="L11">_xlfn.IFS(J11&lt;2,"Fresher",J11&lt;=3,"Mid Level",J11&gt;3,"Experienced")</f>
        <v>Fresher</v>
      </c>
      <c r="M11" s="90" t="str" cm="1">
        <f t="array" ref="M11">_xlfn.IFS(I11&gt;=600000,"High",I11&gt;=450000,"Medium",I11&lt;450000,"Low")</f>
        <v>Low</v>
      </c>
      <c r="N11" s="94">
        <f t="shared" si="3"/>
        <v>0.02</v>
      </c>
      <c r="O11" s="92" t="str">
        <f t="shared" si="0"/>
        <v>Unique</v>
      </c>
      <c r="P11" s="94">
        <f t="shared" si="1"/>
        <v>2</v>
      </c>
      <c r="R11" s="107"/>
    </row>
    <row r="12" spans="1:18">
      <c r="A12" s="114">
        <v>3101010</v>
      </c>
      <c r="B12" s="36" t="s">
        <v>41</v>
      </c>
      <c r="C12" s="53" t="s">
        <v>27</v>
      </c>
      <c r="D12" s="36" t="s">
        <v>12</v>
      </c>
      <c r="E12" s="53" t="s">
        <v>13</v>
      </c>
      <c r="F12" s="53" t="s">
        <v>24</v>
      </c>
      <c r="G12" s="36" t="s">
        <v>15</v>
      </c>
      <c r="H12" s="55">
        <v>46078</v>
      </c>
      <c r="I12" s="35">
        <v>480000</v>
      </c>
      <c r="J12" s="52">
        <v>2</v>
      </c>
      <c r="K12" s="106">
        <v>89</v>
      </c>
      <c r="L12" s="94" t="str" cm="1">
        <f t="array" ref="L12">_xlfn.IFS(J12&lt;2,"Fresher",J12&lt;=3,"Mid Level",J12&gt;3,"Experienced")</f>
        <v>Mid Level</v>
      </c>
      <c r="M12" s="90" t="str" cm="1">
        <f t="array" ref="M12">_xlfn.IFS(I12&gt;=600000,"High",I12&gt;=450000,"Medium",I12&lt;450000,"Low")</f>
        <v>Medium</v>
      </c>
      <c r="N12" s="94">
        <f t="shared" si="3"/>
        <v>0.02</v>
      </c>
      <c r="O12" s="92" t="str">
        <f t="shared" si="0"/>
        <v>Unique</v>
      </c>
      <c r="P12" s="94">
        <f t="shared" si="1"/>
        <v>2</v>
      </c>
      <c r="R12" s="107"/>
    </row>
    <row r="13" spans="1:18">
      <c r="A13" s="114">
        <v>3101011</v>
      </c>
      <c r="B13" s="36" t="s">
        <v>42</v>
      </c>
      <c r="C13" s="53" t="s">
        <v>17</v>
      </c>
      <c r="D13" s="36" t="s">
        <v>12</v>
      </c>
      <c r="E13" s="53" t="s">
        <v>23</v>
      </c>
      <c r="F13" s="53" t="s">
        <v>14</v>
      </c>
      <c r="G13" s="36" t="s">
        <v>21</v>
      </c>
      <c r="H13" s="55">
        <v>46083</v>
      </c>
      <c r="I13" s="35">
        <v>520000</v>
      </c>
      <c r="J13" s="52">
        <v>2</v>
      </c>
      <c r="K13" s="106">
        <v>67</v>
      </c>
      <c r="L13" s="94" t="str" cm="1">
        <f t="array" ref="L13">_xlfn.IFS(J13&lt;2,"Fresher",J13&lt;=3,"Mid Level",J13&gt;3,"Experienced")</f>
        <v>Mid Level</v>
      </c>
      <c r="M13" s="90" t="str" cm="1">
        <f t="array" ref="M13">_xlfn.IFS(I13&gt;=600000,"High",I13&gt;=450000,"Medium",I13&lt;450000,"Low")</f>
        <v>Medium</v>
      </c>
      <c r="N13" s="94">
        <f t="shared" si="3"/>
        <v>0.02</v>
      </c>
      <c r="O13" s="92" t="str">
        <f t="shared" si="0"/>
        <v>Unique</v>
      </c>
      <c r="P13" s="94">
        <f t="shared" si="1"/>
        <v>3</v>
      </c>
      <c r="R13" s="107"/>
    </row>
    <row r="14" spans="1:18">
      <c r="A14" s="114">
        <v>3101012</v>
      </c>
      <c r="B14" s="36" t="s">
        <v>43</v>
      </c>
      <c r="C14" s="53" t="s">
        <v>11</v>
      </c>
      <c r="D14" s="36" t="s">
        <v>18</v>
      </c>
      <c r="E14" s="53" t="s">
        <v>19</v>
      </c>
      <c r="F14" s="53" t="s">
        <v>34</v>
      </c>
      <c r="G14" s="36" t="s">
        <v>25</v>
      </c>
      <c r="H14" s="55">
        <v>46091</v>
      </c>
      <c r="I14" s="35">
        <v>370000</v>
      </c>
      <c r="J14" s="52">
        <v>1</v>
      </c>
      <c r="K14" s="106">
        <v>86</v>
      </c>
      <c r="L14" s="94" t="str" cm="1">
        <f t="array" ref="L14">_xlfn.IFS(J14&lt;2,"Fresher",J14&lt;=3,"Mid Level",J14&gt;3,"Experienced")</f>
        <v>Fresher</v>
      </c>
      <c r="M14" s="90" t="str" cm="1">
        <f t="array" ref="M14">_xlfn.IFS(I14&gt;=600000,"High",I14&gt;=450000,"Medium",I14&lt;450000,"Low")</f>
        <v>Low</v>
      </c>
      <c r="N14" s="94">
        <f t="shared" si="3"/>
        <v>0.01</v>
      </c>
      <c r="O14" s="92" t="str">
        <f t="shared" si="0"/>
        <v>Unique</v>
      </c>
      <c r="P14" s="94">
        <f t="shared" si="1"/>
        <v>3</v>
      </c>
      <c r="R14" s="107"/>
    </row>
    <row r="15" spans="1:18">
      <c r="A15" s="114">
        <v>3101013</v>
      </c>
      <c r="B15" s="36" t="s">
        <v>44</v>
      </c>
      <c r="C15" s="53" t="s">
        <v>38</v>
      </c>
      <c r="D15" s="36" t="s">
        <v>12</v>
      </c>
      <c r="E15" s="53" t="s">
        <v>13</v>
      </c>
      <c r="F15" s="53" t="s">
        <v>24</v>
      </c>
      <c r="G15" s="36" t="s">
        <v>15</v>
      </c>
      <c r="H15" s="55">
        <v>46096</v>
      </c>
      <c r="I15" s="35">
        <v>450000</v>
      </c>
      <c r="J15" s="52">
        <v>2</v>
      </c>
      <c r="K15" s="106">
        <v>92</v>
      </c>
      <c r="L15" s="94" t="str" cm="1">
        <f t="array" ref="L15">_xlfn.IFS(J15&lt;2,"Fresher",J15&lt;=3,"Mid Level",J15&gt;3,"Experienced")</f>
        <v>Mid Level</v>
      </c>
      <c r="M15" s="90" t="str" cm="1">
        <f t="array" ref="M15">_xlfn.IFS(I15&gt;=600000,"High",I15&gt;=450000,"Medium",I15&lt;450000,"Low")</f>
        <v>Medium</v>
      </c>
      <c r="N15" s="94">
        <f t="shared" si="3"/>
        <v>0.02</v>
      </c>
      <c r="O15" s="92" t="str">
        <f t="shared" si="0"/>
        <v>Unique</v>
      </c>
      <c r="P15" s="94">
        <f t="shared" si="1"/>
        <v>3</v>
      </c>
      <c r="R15" s="107"/>
    </row>
    <row r="16" spans="1:18">
      <c r="A16" s="114">
        <v>3101014</v>
      </c>
      <c r="B16" s="36" t="s">
        <v>45</v>
      </c>
      <c r="C16" s="53" t="s">
        <v>11</v>
      </c>
      <c r="D16" s="36" t="s">
        <v>32</v>
      </c>
      <c r="E16" s="53" t="s">
        <v>33</v>
      </c>
      <c r="F16" s="53" t="s">
        <v>20</v>
      </c>
      <c r="G16" s="36" t="s">
        <v>21</v>
      </c>
      <c r="H16" s="55">
        <v>46103</v>
      </c>
      <c r="I16" s="35">
        <v>340000</v>
      </c>
      <c r="J16" s="52">
        <v>3</v>
      </c>
      <c r="K16" s="106">
        <v>69</v>
      </c>
      <c r="L16" s="94" t="str" cm="1">
        <f t="array" ref="L16">_xlfn.IFS(J16&lt;2,"Fresher",J16&lt;=3,"Mid Level",J16&gt;3,"Experienced")</f>
        <v>Mid Level</v>
      </c>
      <c r="M16" s="90" t="str" cm="1">
        <f t="array" ref="M16">_xlfn.IFS(I16&gt;=600000,"High",I16&gt;=450000,"Medium",I16&lt;450000,"Low")</f>
        <v>Low</v>
      </c>
      <c r="N16" s="94">
        <f t="shared" si="3"/>
        <v>0.05</v>
      </c>
      <c r="O16" s="92" t="str">
        <f t="shared" si="0"/>
        <v>Unique</v>
      </c>
      <c r="P16" s="94">
        <f t="shared" si="1"/>
        <v>3</v>
      </c>
      <c r="R16" s="107"/>
    </row>
    <row r="17" spans="1:18">
      <c r="A17" s="114">
        <v>3101015</v>
      </c>
      <c r="B17" s="36" t="s">
        <v>46</v>
      </c>
      <c r="C17" s="53" t="s">
        <v>27</v>
      </c>
      <c r="D17" s="36" t="s">
        <v>12</v>
      </c>
      <c r="E17" s="53" t="s">
        <v>36</v>
      </c>
      <c r="F17" s="53" t="s">
        <v>14</v>
      </c>
      <c r="G17" s="36" t="s">
        <v>15</v>
      </c>
      <c r="H17" s="55">
        <v>46109</v>
      </c>
      <c r="I17" s="35">
        <v>650000</v>
      </c>
      <c r="J17" s="52">
        <v>1</v>
      </c>
      <c r="K17" s="106">
        <v>81</v>
      </c>
      <c r="L17" s="94" t="str" cm="1">
        <f t="array" ref="L17">_xlfn.IFS(J17&lt;2,"Fresher",J17&lt;=3,"Mid Level",J17&gt;3,"Experienced")</f>
        <v>Fresher</v>
      </c>
      <c r="M17" s="90" t="str" cm="1">
        <f t="array" ref="M17">_xlfn.IFS(I17&gt;=600000,"High",I17&gt;=450000,"Medium",I17&lt;450000,"Low")</f>
        <v>High</v>
      </c>
      <c r="N17" s="94">
        <f t="shared" si="3"/>
        <v>0.02</v>
      </c>
      <c r="O17" s="92" t="str">
        <f t="shared" si="0"/>
        <v>Unique</v>
      </c>
      <c r="P17" s="94">
        <f t="shared" si="1"/>
        <v>3</v>
      </c>
      <c r="R17" s="107"/>
    </row>
    <row r="18" spans="1:18">
      <c r="A18" s="114">
        <v>3101016</v>
      </c>
      <c r="B18" s="36" t="s">
        <v>47</v>
      </c>
      <c r="C18" s="53" t="s">
        <v>11</v>
      </c>
      <c r="D18" s="36" t="s">
        <v>28</v>
      </c>
      <c r="E18" s="53" t="s">
        <v>29</v>
      </c>
      <c r="F18" s="53" t="s">
        <v>24</v>
      </c>
      <c r="G18" s="36" t="s">
        <v>25</v>
      </c>
      <c r="H18" s="55">
        <v>46115</v>
      </c>
      <c r="I18" s="35">
        <v>380000</v>
      </c>
      <c r="J18" s="52">
        <v>2</v>
      </c>
      <c r="K18" s="106">
        <v>94</v>
      </c>
      <c r="L18" s="94" t="str" cm="1">
        <f t="array" ref="L18">_xlfn.IFS(J18&lt;2,"Fresher",J18&lt;=3,"Mid Level",J18&gt;3,"Experienced")</f>
        <v>Mid Level</v>
      </c>
      <c r="M18" s="90" t="str" cm="1">
        <f t="array" ref="M18">_xlfn.IFS(I18&gt;=600000,"High",I18&gt;=450000,"Medium",I18&lt;450000,"Low")</f>
        <v>Low</v>
      </c>
      <c r="N18" s="94">
        <f t="shared" si="3"/>
        <v>0.02</v>
      </c>
      <c r="O18" s="92" t="str">
        <f t="shared" si="0"/>
        <v>Unique</v>
      </c>
      <c r="P18" s="94">
        <f t="shared" si="1"/>
        <v>4</v>
      </c>
      <c r="R18" s="107"/>
    </row>
    <row r="19" spans="1:18">
      <c r="A19" s="114">
        <v>3101017</v>
      </c>
      <c r="B19" s="36" t="s">
        <v>48</v>
      </c>
      <c r="C19" s="53" t="s">
        <v>17</v>
      </c>
      <c r="D19" s="36" t="s">
        <v>12</v>
      </c>
      <c r="E19" s="53" t="s">
        <v>13</v>
      </c>
      <c r="F19" s="53" t="s">
        <v>20</v>
      </c>
      <c r="G19" s="36" t="s">
        <v>21</v>
      </c>
      <c r="H19" s="55">
        <v>46121</v>
      </c>
      <c r="I19" s="35">
        <v>440000</v>
      </c>
      <c r="J19" s="52">
        <v>1</v>
      </c>
      <c r="K19" s="106">
        <v>77</v>
      </c>
      <c r="L19" s="94" t="str" cm="1">
        <f t="array" ref="L19">_xlfn.IFS(J19&lt;2,"Fresher",J19&lt;=3,"Mid Level",J19&gt;3,"Experienced")</f>
        <v>Fresher</v>
      </c>
      <c r="M19" s="90" t="str" cm="1">
        <f t="array" ref="M19">_xlfn.IFS(I19&gt;=600000,"High",I19&gt;=450000,"Medium",I19&lt;450000,"Low")</f>
        <v>Low</v>
      </c>
      <c r="N19" s="94">
        <f t="shared" si="3"/>
        <v>0.05</v>
      </c>
      <c r="O19" s="92" t="str">
        <f t="shared" si="0"/>
        <v>Unique</v>
      </c>
      <c r="P19" s="94">
        <f t="shared" si="1"/>
        <v>4</v>
      </c>
      <c r="R19" s="107"/>
    </row>
    <row r="20" spans="1:18">
      <c r="A20" s="114">
        <v>3101018</v>
      </c>
      <c r="B20" s="36" t="s">
        <v>49</v>
      </c>
      <c r="C20" s="53" t="s">
        <v>11</v>
      </c>
      <c r="D20" s="36" t="s">
        <v>18</v>
      </c>
      <c r="E20" s="53" t="s">
        <v>39</v>
      </c>
      <c r="F20" s="53" t="s">
        <v>14</v>
      </c>
      <c r="G20" s="36" t="s">
        <v>15</v>
      </c>
      <c r="H20" s="55">
        <v>46128</v>
      </c>
      <c r="I20" s="35">
        <v>410000</v>
      </c>
      <c r="J20" s="52">
        <v>2</v>
      </c>
      <c r="K20" s="106">
        <v>72</v>
      </c>
      <c r="L20" s="94" t="str" cm="1">
        <f t="array" ref="L20">_xlfn.IFS(J20&lt;2,"Fresher",J20&lt;=3,"Mid Level",J20&gt;3,"Experienced")</f>
        <v>Mid Level</v>
      </c>
      <c r="M20" s="90" t="str" cm="1">
        <f t="array" ref="M20">_xlfn.IFS(I20&gt;=600000,"High",I20&gt;=450000,"Medium",I20&lt;450000,"Low")</f>
        <v>Low</v>
      </c>
      <c r="N20" s="94">
        <f t="shared" si="3"/>
        <v>0.02</v>
      </c>
      <c r="O20" s="92" t="str">
        <f t="shared" si="0"/>
        <v>Unique</v>
      </c>
      <c r="P20" s="94">
        <f t="shared" si="1"/>
        <v>4</v>
      </c>
      <c r="R20" s="107"/>
    </row>
    <row r="21" spans="1:18">
      <c r="A21" s="114">
        <v>3101019</v>
      </c>
      <c r="B21" s="36" t="s">
        <v>50</v>
      </c>
      <c r="C21" s="53" t="s">
        <v>38</v>
      </c>
      <c r="D21" s="36" t="s">
        <v>12</v>
      </c>
      <c r="E21" s="53" t="s">
        <v>23</v>
      </c>
      <c r="F21" s="53" t="s">
        <v>24</v>
      </c>
      <c r="G21" s="36" t="s">
        <v>25</v>
      </c>
      <c r="H21" s="55">
        <v>46134</v>
      </c>
      <c r="I21" s="35">
        <v>510000</v>
      </c>
      <c r="J21" s="52">
        <v>3</v>
      </c>
      <c r="K21" s="106">
        <v>90</v>
      </c>
      <c r="L21" s="94" t="str" cm="1">
        <f t="array" ref="L21">_xlfn.IFS(J21&lt;2,"Fresher",J21&lt;=3,"Mid Level",J21&gt;3,"Experienced")</f>
        <v>Mid Level</v>
      </c>
      <c r="M21" s="90" t="str" cm="1">
        <f t="array" ref="M21">_xlfn.IFS(I21&gt;=600000,"High",I21&gt;=450000,"Medium",I21&lt;450000,"Low")</f>
        <v>Medium</v>
      </c>
      <c r="N21" s="94">
        <f t="shared" si="3"/>
        <v>0.02</v>
      </c>
      <c r="O21" s="92" t="str">
        <f t="shared" si="0"/>
        <v>Unique</v>
      </c>
      <c r="P21" s="94">
        <f t="shared" si="1"/>
        <v>4</v>
      </c>
      <c r="R21" s="107"/>
    </row>
    <row r="22" spans="1:18">
      <c r="A22" s="114">
        <v>3101020</v>
      </c>
      <c r="B22" s="36" t="s">
        <v>51</v>
      </c>
      <c r="C22" s="53" t="s">
        <v>11</v>
      </c>
      <c r="D22" s="36" t="s">
        <v>12</v>
      </c>
      <c r="E22" s="53" t="s">
        <v>13</v>
      </c>
      <c r="F22" s="53" t="s">
        <v>34</v>
      </c>
      <c r="G22" s="36" t="s">
        <v>21</v>
      </c>
      <c r="H22" s="55">
        <v>46141</v>
      </c>
      <c r="I22" s="35">
        <v>460000</v>
      </c>
      <c r="J22" s="52">
        <v>1</v>
      </c>
      <c r="K22" s="106">
        <v>74</v>
      </c>
      <c r="L22" s="94" t="str" cm="1">
        <f t="array" ref="L22">_xlfn.IFS(J22&lt;2,"Fresher",J22&lt;=3,"Mid Level",J22&gt;3,"Experienced")</f>
        <v>Fresher</v>
      </c>
      <c r="M22" s="90" t="str" cm="1">
        <f t="array" ref="M22">_xlfn.IFS(I22&gt;=600000,"High",I22&gt;=450000,"Medium",I22&lt;450000,"Low")</f>
        <v>Medium</v>
      </c>
      <c r="N22" s="94">
        <f t="shared" si="3"/>
        <v>0.01</v>
      </c>
      <c r="O22" s="92" t="str">
        <f t="shared" si="0"/>
        <v>Unique</v>
      </c>
      <c r="P22" s="94">
        <f t="shared" si="1"/>
        <v>4</v>
      </c>
      <c r="R22" s="107"/>
    </row>
    <row r="23" spans="1:18">
      <c r="A23" s="115">
        <v>3101021</v>
      </c>
      <c r="B23" s="85" t="s">
        <v>286</v>
      </c>
      <c r="C23" s="96" t="s">
        <v>264</v>
      </c>
      <c r="D23" s="85" t="s">
        <v>18</v>
      </c>
      <c r="E23" s="96" t="s">
        <v>19</v>
      </c>
      <c r="F23" s="96" t="s">
        <v>14</v>
      </c>
      <c r="G23" s="85" t="s">
        <v>256</v>
      </c>
      <c r="H23" s="98">
        <v>46287</v>
      </c>
      <c r="I23" s="85">
        <v>480000</v>
      </c>
      <c r="J23" s="96">
        <v>3</v>
      </c>
      <c r="K23" s="106">
        <v>85</v>
      </c>
      <c r="L23" s="94" t="str" cm="1">
        <f t="array" ref="L23">_xlfn.IFS(J23&lt;2,"Fresher",J23&lt;=3,"Mid Level",J23&gt;3,"Experienced")</f>
        <v>Mid Level</v>
      </c>
      <c r="M23" s="90" t="str" cm="1">
        <f t="array" ref="M23">_xlfn.IFS(I23&gt;=600000,"High",I23&gt;=450000,"Medium",I23&lt;450000,"Low")</f>
        <v>Medium</v>
      </c>
      <c r="N23" s="94">
        <f t="shared" si="3"/>
        <v>0.02</v>
      </c>
      <c r="O23" s="92" t="str">
        <f t="shared" si="0"/>
        <v>Unique</v>
      </c>
      <c r="P23" s="94">
        <f t="shared" si="1"/>
        <v>9</v>
      </c>
      <c r="R23" s="107"/>
    </row>
    <row r="24" spans="1:18">
      <c r="A24" s="115">
        <v>3101022</v>
      </c>
      <c r="B24" s="85" t="s">
        <v>295</v>
      </c>
      <c r="C24" s="96" t="s">
        <v>268</v>
      </c>
      <c r="D24" s="85" t="s">
        <v>12</v>
      </c>
      <c r="E24" s="96" t="s">
        <v>265</v>
      </c>
      <c r="F24" s="96" t="s">
        <v>14</v>
      </c>
      <c r="G24" s="85" t="s">
        <v>25</v>
      </c>
      <c r="H24" s="98">
        <v>46173</v>
      </c>
      <c r="I24" s="85">
        <v>460000</v>
      </c>
      <c r="J24" s="96">
        <v>2</v>
      </c>
      <c r="K24" s="106">
        <v>94</v>
      </c>
      <c r="L24" s="94" t="str" cm="1">
        <f t="array" ref="L24">_xlfn.IFS(J24&lt;2,"Fresher",J24&lt;=3,"Mid Level",J24&gt;3,"Experienced")</f>
        <v>Mid Level</v>
      </c>
      <c r="M24" s="90" t="str" cm="1">
        <f t="array" ref="M24">_xlfn.IFS(I24&gt;=600000,"High",I24&gt;=450000,"Medium",I24&lt;450000,"Low")</f>
        <v>Medium</v>
      </c>
      <c r="N24" s="94">
        <f t="shared" si="3"/>
        <v>0.02</v>
      </c>
      <c r="O24" s="92" t="str">
        <f t="shared" si="0"/>
        <v>Unique</v>
      </c>
      <c r="P24" s="94">
        <f t="shared" si="1"/>
        <v>5</v>
      </c>
      <c r="R24" s="107"/>
    </row>
    <row r="25" spans="1:18">
      <c r="A25" s="115">
        <v>3101023</v>
      </c>
      <c r="B25" s="85" t="s">
        <v>296</v>
      </c>
      <c r="C25" s="96" t="s">
        <v>11</v>
      </c>
      <c r="D25" s="85" t="s">
        <v>32</v>
      </c>
      <c r="E25" s="96" t="s">
        <v>33</v>
      </c>
      <c r="F25" s="96" t="s">
        <v>20</v>
      </c>
      <c r="G25" s="85" t="s">
        <v>25</v>
      </c>
      <c r="H25" s="98">
        <v>46198</v>
      </c>
      <c r="I25" s="85">
        <v>360000</v>
      </c>
      <c r="J25" s="96">
        <v>3</v>
      </c>
      <c r="K25" s="106">
        <v>68</v>
      </c>
      <c r="L25" s="94" t="str" cm="1">
        <f t="array" ref="L25">_xlfn.IFS(J25&lt;2,"Fresher",J25&lt;=3,"Mid Level",J25&gt;3,"Experienced")</f>
        <v>Mid Level</v>
      </c>
      <c r="M25" s="90" t="str" cm="1">
        <f t="array" ref="M25">_xlfn.IFS(I25&gt;=600000,"High",I25&gt;=450000,"Medium",I25&lt;450000,"Low")</f>
        <v>Low</v>
      </c>
      <c r="N25" s="94">
        <f t="shared" si="3"/>
        <v>0.05</v>
      </c>
      <c r="O25" s="92" t="str">
        <f t="shared" si="0"/>
        <v>Unique</v>
      </c>
      <c r="P25" s="94">
        <f t="shared" si="1"/>
        <v>6</v>
      </c>
      <c r="R25" s="107"/>
    </row>
    <row r="26" spans="1:18">
      <c r="A26" s="115">
        <v>3101024</v>
      </c>
      <c r="B26" s="85" t="s">
        <v>46</v>
      </c>
      <c r="C26" s="96" t="s">
        <v>264</v>
      </c>
      <c r="D26" s="85" t="s">
        <v>28</v>
      </c>
      <c r="E26" s="96" t="s">
        <v>29</v>
      </c>
      <c r="F26" s="96" t="s">
        <v>14</v>
      </c>
      <c r="G26" s="85" t="s">
        <v>25</v>
      </c>
      <c r="H26" s="98">
        <v>46167</v>
      </c>
      <c r="I26" s="85">
        <v>470000</v>
      </c>
      <c r="J26" s="96">
        <v>4</v>
      </c>
      <c r="K26" s="106">
        <v>87</v>
      </c>
      <c r="L26" s="94" t="str" cm="1">
        <f t="array" ref="L26">_xlfn.IFS(J26&lt;2,"Fresher",J26&lt;=3,"Mid Level",J26&gt;3,"Experienced")</f>
        <v>Experienced</v>
      </c>
      <c r="M26" s="90" t="str" cm="1">
        <f t="array" ref="M26">_xlfn.IFS(I26&gt;=600000,"High",I26&gt;=450000,"Medium",I26&lt;450000,"Low")</f>
        <v>Medium</v>
      </c>
      <c r="N26" s="94">
        <f t="shared" ref="N26:N67" si="4">IF(F26="Naukri",2%,IF(F26="LinkedIn",2%,IF(F26="Employee Referral",5%,1%)))</f>
        <v>0.02</v>
      </c>
      <c r="O26" s="92" t="str">
        <f t="shared" ref="O26:O67" si="5">IF(COUNTIF($A$2:$A$478,A26)&gt;1,"Duplicate","Unique")</f>
        <v>Unique</v>
      </c>
      <c r="P26" s="94">
        <f t="shared" ref="P26:P66" si="6">MONTH(H26)</f>
        <v>5</v>
      </c>
      <c r="R26" s="107"/>
    </row>
    <row r="27" spans="1:18">
      <c r="A27" s="115">
        <v>3101025</v>
      </c>
      <c r="B27" s="85" t="s">
        <v>263</v>
      </c>
      <c r="C27" s="96" t="s">
        <v>260</v>
      </c>
      <c r="D27" s="85" t="s">
        <v>28</v>
      </c>
      <c r="E27" s="96" t="s">
        <v>297</v>
      </c>
      <c r="F27" s="96" t="s">
        <v>24</v>
      </c>
      <c r="G27" s="85" t="s">
        <v>256</v>
      </c>
      <c r="H27" s="98">
        <v>46292</v>
      </c>
      <c r="I27" s="85">
        <v>385000</v>
      </c>
      <c r="J27" s="96">
        <v>2</v>
      </c>
      <c r="K27" s="106">
        <v>82</v>
      </c>
      <c r="L27" s="94" t="str" cm="1">
        <f t="array" ref="L27">_xlfn.IFS(J27&lt;2,"Fresher",J27&lt;=3,"Mid Level",J27&gt;3,"Experienced")</f>
        <v>Mid Level</v>
      </c>
      <c r="M27" s="90" t="str" cm="1">
        <f t="array" ref="M27">_xlfn.IFS(I27&gt;=600000,"High",I27&gt;=450000,"Medium",I27&lt;450000,"Low")</f>
        <v>Low</v>
      </c>
      <c r="N27" s="94">
        <f t="shared" si="4"/>
        <v>0.02</v>
      </c>
      <c r="O27" s="92" t="str">
        <f t="shared" si="5"/>
        <v>Unique</v>
      </c>
      <c r="P27" s="94">
        <f t="shared" si="6"/>
        <v>9</v>
      </c>
      <c r="R27" s="107"/>
    </row>
    <row r="28" spans="1:18">
      <c r="A28" s="115">
        <v>3101026</v>
      </c>
      <c r="B28" s="85" t="s">
        <v>253</v>
      </c>
      <c r="C28" s="96" t="s">
        <v>264</v>
      </c>
      <c r="D28" s="85" t="s">
        <v>28</v>
      </c>
      <c r="E28" s="96" t="s">
        <v>297</v>
      </c>
      <c r="F28" s="96" t="s">
        <v>20</v>
      </c>
      <c r="G28" s="85" t="s">
        <v>15</v>
      </c>
      <c r="H28" s="98">
        <v>46294</v>
      </c>
      <c r="I28" s="85">
        <v>535000</v>
      </c>
      <c r="J28" s="96">
        <v>4</v>
      </c>
      <c r="K28" s="106">
        <v>76</v>
      </c>
      <c r="L28" s="94" t="str" cm="1">
        <f t="array" ref="L28">_xlfn.IFS(J28&lt;2,"Fresher",J28&lt;=3,"Mid Level",J28&gt;3,"Experienced")</f>
        <v>Experienced</v>
      </c>
      <c r="M28" s="90" t="str" cm="1">
        <f t="array" ref="M28">_xlfn.IFS(I28&gt;=600000,"High",I28&gt;=450000,"Medium",I28&lt;450000,"Low")</f>
        <v>Medium</v>
      </c>
      <c r="N28" s="94">
        <f t="shared" si="4"/>
        <v>0.05</v>
      </c>
      <c r="O28" s="92" t="str">
        <f t="shared" si="5"/>
        <v>Unique</v>
      </c>
      <c r="P28" s="94">
        <f t="shared" si="6"/>
        <v>9</v>
      </c>
      <c r="R28" s="107"/>
    </row>
    <row r="29" spans="1:18">
      <c r="A29" s="115">
        <v>3101027</v>
      </c>
      <c r="B29" s="85" t="s">
        <v>254</v>
      </c>
      <c r="C29" s="96" t="s">
        <v>258</v>
      </c>
      <c r="D29" s="85" t="s">
        <v>18</v>
      </c>
      <c r="E29" s="96" t="s">
        <v>19</v>
      </c>
      <c r="F29" s="96" t="s">
        <v>20</v>
      </c>
      <c r="G29" s="85" t="s">
        <v>21</v>
      </c>
      <c r="H29" s="98">
        <v>46279</v>
      </c>
      <c r="I29" s="85">
        <v>430000</v>
      </c>
      <c r="J29" s="96">
        <v>2</v>
      </c>
      <c r="K29" s="106">
        <v>88</v>
      </c>
      <c r="L29" s="94" t="str" cm="1">
        <f t="array" ref="L29">_xlfn.IFS(J29&lt;2,"Fresher",J29&lt;=3,"Mid Level",J29&gt;3,"Experienced")</f>
        <v>Mid Level</v>
      </c>
      <c r="M29" s="90" t="str" cm="1">
        <f t="array" ref="M29">_xlfn.IFS(I29&gt;=600000,"High",I29&gt;=450000,"Medium",I29&lt;450000,"Low")</f>
        <v>Low</v>
      </c>
      <c r="N29" s="94">
        <f t="shared" si="4"/>
        <v>0.05</v>
      </c>
      <c r="O29" s="92" t="str">
        <f t="shared" si="5"/>
        <v>Unique</v>
      </c>
      <c r="P29" s="94">
        <f t="shared" si="6"/>
        <v>9</v>
      </c>
      <c r="R29" s="107"/>
    </row>
    <row r="30" spans="1:18">
      <c r="A30" s="115">
        <v>3101028</v>
      </c>
      <c r="B30" s="85" t="s">
        <v>298</v>
      </c>
      <c r="C30" s="96" t="s">
        <v>11</v>
      </c>
      <c r="D30" s="85" t="s">
        <v>18</v>
      </c>
      <c r="E30" s="96" t="s">
        <v>39</v>
      </c>
      <c r="F30" s="96" t="s">
        <v>24</v>
      </c>
      <c r="G30" s="85" t="s">
        <v>25</v>
      </c>
      <c r="H30" s="98">
        <v>46157</v>
      </c>
      <c r="I30" s="85">
        <v>485000</v>
      </c>
      <c r="J30" s="96">
        <v>5</v>
      </c>
      <c r="K30" s="106">
        <v>91</v>
      </c>
      <c r="L30" s="94" t="str" cm="1">
        <f t="array" ref="L30">_xlfn.IFS(J30&lt;2,"Fresher",J30&lt;=3,"Mid Level",J30&gt;3,"Experienced")</f>
        <v>Experienced</v>
      </c>
      <c r="M30" s="90" t="str" cm="1">
        <f t="array" ref="M30">_xlfn.IFS(I30&gt;=600000,"High",I30&gt;=450000,"Medium",I30&lt;450000,"Low")</f>
        <v>Medium</v>
      </c>
      <c r="N30" s="94">
        <f t="shared" si="4"/>
        <v>0.02</v>
      </c>
      <c r="O30" s="92" t="str">
        <f t="shared" si="5"/>
        <v>Unique</v>
      </c>
      <c r="P30" s="94">
        <f t="shared" si="6"/>
        <v>5</v>
      </c>
      <c r="R30" s="107"/>
    </row>
    <row r="31" spans="1:18">
      <c r="A31" s="115">
        <v>3101029</v>
      </c>
      <c r="B31" s="85" t="s">
        <v>278</v>
      </c>
      <c r="C31" s="96" t="s">
        <v>258</v>
      </c>
      <c r="D31" s="85" t="s">
        <v>28</v>
      </c>
      <c r="E31" s="96" t="s">
        <v>297</v>
      </c>
      <c r="F31" s="96" t="s">
        <v>24</v>
      </c>
      <c r="G31" s="85" t="s">
        <v>21</v>
      </c>
      <c r="H31" s="98">
        <v>46203</v>
      </c>
      <c r="I31" s="85">
        <v>580000</v>
      </c>
      <c r="J31" s="96">
        <v>0</v>
      </c>
      <c r="K31" s="106">
        <v>69</v>
      </c>
      <c r="L31" s="94" t="str" cm="1">
        <f t="array" ref="L31">_xlfn.IFS(J31&lt;2,"Fresher",J31&lt;=3,"Mid Level",J31&gt;3,"Experienced")</f>
        <v>Fresher</v>
      </c>
      <c r="M31" s="90" t="str" cm="1">
        <f t="array" ref="M31">_xlfn.IFS(I31&gt;=600000,"High",I31&gt;=450000,"Medium",I31&lt;450000,"Low")</f>
        <v>Medium</v>
      </c>
      <c r="N31" s="94">
        <f t="shared" si="4"/>
        <v>0.02</v>
      </c>
      <c r="O31" s="92" t="str">
        <f t="shared" si="5"/>
        <v>Unique</v>
      </c>
      <c r="P31" s="94">
        <f t="shared" si="6"/>
        <v>6</v>
      </c>
      <c r="R31" s="107"/>
    </row>
    <row r="32" spans="1:18">
      <c r="A32" s="115">
        <v>3101030</v>
      </c>
      <c r="B32" s="85" t="s">
        <v>299</v>
      </c>
      <c r="C32" s="96" t="s">
        <v>268</v>
      </c>
      <c r="D32" s="85" t="s">
        <v>32</v>
      </c>
      <c r="E32" s="96" t="s">
        <v>300</v>
      </c>
      <c r="F32" s="96" t="s">
        <v>34</v>
      </c>
      <c r="G32" s="85" t="s">
        <v>25</v>
      </c>
      <c r="H32" s="98">
        <v>46223</v>
      </c>
      <c r="I32" s="85">
        <v>405000</v>
      </c>
      <c r="J32" s="96">
        <v>4</v>
      </c>
      <c r="K32" s="106">
        <v>95</v>
      </c>
      <c r="L32" s="94" t="str" cm="1">
        <f t="array" ref="L32">_xlfn.IFS(J32&lt;2,"Fresher",J32&lt;=3,"Mid Level",J32&gt;3,"Experienced")</f>
        <v>Experienced</v>
      </c>
      <c r="M32" s="90" t="str" cm="1">
        <f t="array" ref="M32">_xlfn.IFS(I32&gt;=600000,"High",I32&gt;=450000,"Medium",I32&lt;450000,"Low")</f>
        <v>Low</v>
      </c>
      <c r="N32" s="94">
        <f t="shared" si="4"/>
        <v>0.01</v>
      </c>
      <c r="O32" s="92" t="str">
        <f t="shared" si="5"/>
        <v>Unique</v>
      </c>
      <c r="P32" s="94">
        <f t="shared" si="6"/>
        <v>7</v>
      </c>
    </row>
    <row r="33" spans="1:16">
      <c r="A33" s="115">
        <v>3101031</v>
      </c>
      <c r="B33" s="85" t="s">
        <v>298</v>
      </c>
      <c r="C33" s="96" t="s">
        <v>258</v>
      </c>
      <c r="D33" s="85" t="s">
        <v>28</v>
      </c>
      <c r="E33" s="96" t="s">
        <v>29</v>
      </c>
      <c r="F33" s="96" t="s">
        <v>24</v>
      </c>
      <c r="G33" s="85" t="s">
        <v>21</v>
      </c>
      <c r="H33" s="98">
        <v>46213</v>
      </c>
      <c r="I33" s="85">
        <v>310000</v>
      </c>
      <c r="J33" s="96">
        <v>0</v>
      </c>
      <c r="K33" s="106">
        <v>73</v>
      </c>
      <c r="L33" s="94" t="str" cm="1">
        <f t="array" ref="L33">_xlfn.IFS(J33&lt;2,"Fresher",J33&lt;=3,"Mid Level",J33&gt;3,"Experienced")</f>
        <v>Fresher</v>
      </c>
      <c r="M33" s="90" t="str" cm="1">
        <f t="array" ref="M33">_xlfn.IFS(I33&gt;=600000,"High",I33&gt;=450000,"Medium",I33&lt;450000,"Low")</f>
        <v>Low</v>
      </c>
      <c r="N33" s="94">
        <f t="shared" si="4"/>
        <v>0.02</v>
      </c>
      <c r="O33" s="92" t="str">
        <f t="shared" si="5"/>
        <v>Unique</v>
      </c>
      <c r="P33" s="94">
        <f t="shared" si="6"/>
        <v>7</v>
      </c>
    </row>
    <row r="34" spans="1:16">
      <c r="A34" s="115">
        <v>3101032</v>
      </c>
      <c r="B34" s="85" t="s">
        <v>259</v>
      </c>
      <c r="C34" s="96" t="s">
        <v>268</v>
      </c>
      <c r="D34" s="85" t="s">
        <v>18</v>
      </c>
      <c r="E34" s="96" t="s">
        <v>19</v>
      </c>
      <c r="F34" s="96" t="s">
        <v>20</v>
      </c>
      <c r="G34" s="85" t="s">
        <v>21</v>
      </c>
      <c r="H34" s="98">
        <v>46196</v>
      </c>
      <c r="I34" s="85">
        <v>455000</v>
      </c>
      <c r="J34" s="96">
        <v>2</v>
      </c>
      <c r="K34" s="106">
        <v>84</v>
      </c>
      <c r="L34" s="94" t="str" cm="1">
        <f t="array" ref="L34">_xlfn.IFS(J34&lt;2,"Fresher",J34&lt;=3,"Mid Level",J34&gt;3,"Experienced")</f>
        <v>Mid Level</v>
      </c>
      <c r="M34" s="90" t="str" cm="1">
        <f t="array" ref="M34">_xlfn.IFS(I34&gt;=600000,"High",I34&gt;=450000,"Medium",I34&lt;450000,"Low")</f>
        <v>Medium</v>
      </c>
      <c r="N34" s="94">
        <f t="shared" si="4"/>
        <v>0.05</v>
      </c>
      <c r="O34" s="92" t="str">
        <f t="shared" si="5"/>
        <v>Unique</v>
      </c>
      <c r="P34" s="94">
        <f t="shared" si="6"/>
        <v>6</v>
      </c>
    </row>
    <row r="35" spans="1:16">
      <c r="A35" s="115">
        <v>3101033</v>
      </c>
      <c r="B35" s="85" t="s">
        <v>301</v>
      </c>
      <c r="C35" s="96" t="s">
        <v>268</v>
      </c>
      <c r="D35" s="85" t="s">
        <v>28</v>
      </c>
      <c r="E35" s="96" t="s">
        <v>29</v>
      </c>
      <c r="F35" s="96" t="s">
        <v>14</v>
      </c>
      <c r="G35" s="85" t="s">
        <v>256</v>
      </c>
      <c r="H35" s="98">
        <v>46226</v>
      </c>
      <c r="I35" s="85">
        <v>330000</v>
      </c>
      <c r="J35" s="96">
        <v>3</v>
      </c>
      <c r="K35" s="106">
        <v>79</v>
      </c>
      <c r="L35" s="94" t="str" cm="1">
        <f t="array" ref="L35">_xlfn.IFS(J35&lt;2,"Fresher",J35&lt;=3,"Mid Level",J35&gt;3,"Experienced")</f>
        <v>Mid Level</v>
      </c>
      <c r="M35" s="90" t="str" cm="1">
        <f t="array" ref="M35">_xlfn.IFS(I35&gt;=600000,"High",I35&gt;=450000,"Medium",I35&lt;450000,"Low")</f>
        <v>Low</v>
      </c>
      <c r="N35" s="94">
        <f t="shared" si="4"/>
        <v>0.02</v>
      </c>
      <c r="O35" s="92" t="str">
        <f t="shared" si="5"/>
        <v>Unique</v>
      </c>
      <c r="P35" s="94">
        <f t="shared" si="6"/>
        <v>7</v>
      </c>
    </row>
    <row r="36" spans="1:16">
      <c r="A36" s="115">
        <v>3101034</v>
      </c>
      <c r="B36" s="85" t="s">
        <v>302</v>
      </c>
      <c r="C36" s="96" t="s">
        <v>260</v>
      </c>
      <c r="D36" s="85" t="s">
        <v>28</v>
      </c>
      <c r="E36" s="96" t="s">
        <v>297</v>
      </c>
      <c r="F36" s="96" t="s">
        <v>24</v>
      </c>
      <c r="G36" s="85" t="s">
        <v>256</v>
      </c>
      <c r="H36" s="98">
        <v>46267</v>
      </c>
      <c r="I36" s="85">
        <v>585000</v>
      </c>
      <c r="J36" s="96">
        <v>0</v>
      </c>
      <c r="K36" s="106">
        <v>71</v>
      </c>
      <c r="L36" s="94" t="str" cm="1">
        <f t="array" ref="L36">_xlfn.IFS(J36&lt;2,"Fresher",J36&lt;=3,"Mid Level",J36&gt;3,"Experienced")</f>
        <v>Fresher</v>
      </c>
      <c r="M36" s="90" t="str" cm="1">
        <f t="array" ref="M36">_xlfn.IFS(I36&gt;=600000,"High",I36&gt;=450000,"Medium",I36&lt;450000,"Low")</f>
        <v>Medium</v>
      </c>
      <c r="N36" s="94">
        <f t="shared" si="4"/>
        <v>0.02</v>
      </c>
      <c r="O36" s="92" t="str">
        <f t="shared" si="5"/>
        <v>Unique</v>
      </c>
      <c r="P36" s="94">
        <f t="shared" si="6"/>
        <v>9</v>
      </c>
    </row>
    <row r="37" spans="1:16">
      <c r="A37" s="115">
        <v>3101035</v>
      </c>
      <c r="B37" s="85" t="s">
        <v>269</v>
      </c>
      <c r="C37" s="96" t="s">
        <v>268</v>
      </c>
      <c r="D37" s="85" t="s">
        <v>12</v>
      </c>
      <c r="E37" s="96" t="s">
        <v>303</v>
      </c>
      <c r="F37" s="96" t="s">
        <v>14</v>
      </c>
      <c r="G37" s="85" t="s">
        <v>15</v>
      </c>
      <c r="H37" s="98">
        <v>46250</v>
      </c>
      <c r="I37" s="85">
        <v>785000</v>
      </c>
      <c r="J37" s="96">
        <v>1</v>
      </c>
      <c r="K37" s="106">
        <v>89</v>
      </c>
      <c r="L37" s="94" t="str" cm="1">
        <f t="array" ref="L37">_xlfn.IFS(J37&lt;2,"Fresher",J37&lt;=3,"Mid Level",J37&gt;3,"Experienced")</f>
        <v>Fresher</v>
      </c>
      <c r="M37" s="90" t="str" cm="1">
        <f t="array" ref="M37">_xlfn.IFS(I37&gt;=600000,"High",I37&gt;=450000,"Medium",I37&lt;450000,"Low")</f>
        <v>High</v>
      </c>
      <c r="N37" s="94">
        <f t="shared" si="4"/>
        <v>0.02</v>
      </c>
      <c r="O37" s="92" t="str">
        <f t="shared" si="5"/>
        <v>Unique</v>
      </c>
      <c r="P37" s="94">
        <f t="shared" si="6"/>
        <v>8</v>
      </c>
    </row>
    <row r="38" spans="1:16">
      <c r="A38" s="115">
        <v>3101036</v>
      </c>
      <c r="B38" s="85" t="s">
        <v>273</v>
      </c>
      <c r="C38" s="96" t="s">
        <v>17</v>
      </c>
      <c r="D38" s="85" t="s">
        <v>12</v>
      </c>
      <c r="E38" s="96" t="s">
        <v>13</v>
      </c>
      <c r="F38" s="96" t="s">
        <v>20</v>
      </c>
      <c r="G38" s="85" t="s">
        <v>25</v>
      </c>
      <c r="H38" s="98">
        <v>46166</v>
      </c>
      <c r="I38" s="85">
        <v>630000</v>
      </c>
      <c r="J38" s="96">
        <v>4</v>
      </c>
      <c r="K38" s="106">
        <v>67</v>
      </c>
      <c r="L38" s="94" t="str" cm="1">
        <f t="array" ref="L38">_xlfn.IFS(J38&lt;2,"Fresher",J38&lt;=3,"Mid Level",J38&gt;3,"Experienced")</f>
        <v>Experienced</v>
      </c>
      <c r="M38" s="90" t="str" cm="1">
        <f t="array" ref="M38">_xlfn.IFS(I38&gt;=600000,"High",I38&gt;=450000,"Medium",I38&lt;450000,"Low")</f>
        <v>High</v>
      </c>
      <c r="N38" s="94">
        <f t="shared" si="4"/>
        <v>0.05</v>
      </c>
      <c r="O38" s="92" t="str">
        <f t="shared" si="5"/>
        <v>Unique</v>
      </c>
      <c r="P38" s="94">
        <f t="shared" si="6"/>
        <v>5</v>
      </c>
    </row>
    <row r="39" spans="1:16">
      <c r="A39" s="115">
        <v>3101037</v>
      </c>
      <c r="B39" s="85" t="s">
        <v>48</v>
      </c>
      <c r="C39" s="96" t="s">
        <v>38</v>
      </c>
      <c r="D39" s="85" t="s">
        <v>12</v>
      </c>
      <c r="E39" s="96" t="s">
        <v>23</v>
      </c>
      <c r="F39" s="96" t="s">
        <v>14</v>
      </c>
      <c r="G39" s="85" t="s">
        <v>25</v>
      </c>
      <c r="H39" s="98">
        <v>46213</v>
      </c>
      <c r="I39" s="85">
        <v>645000</v>
      </c>
      <c r="J39" s="96">
        <v>5</v>
      </c>
      <c r="K39" s="106">
        <v>86</v>
      </c>
      <c r="L39" s="94" t="str" cm="1">
        <f t="array" ref="L39">_xlfn.IFS(J39&lt;2,"Fresher",J39&lt;=3,"Mid Level",J39&gt;3,"Experienced")</f>
        <v>Experienced</v>
      </c>
      <c r="M39" s="90" t="str" cm="1">
        <f t="array" ref="M39">_xlfn.IFS(I39&gt;=600000,"High",I39&gt;=450000,"Medium",I39&lt;450000,"Low")</f>
        <v>High</v>
      </c>
      <c r="N39" s="94">
        <f t="shared" si="4"/>
        <v>0.02</v>
      </c>
      <c r="O39" s="92" t="str">
        <f t="shared" si="5"/>
        <v>Unique</v>
      </c>
      <c r="P39" s="94">
        <f t="shared" si="6"/>
        <v>7</v>
      </c>
    </row>
    <row r="40" spans="1:16">
      <c r="A40" s="115">
        <v>3101038</v>
      </c>
      <c r="B40" s="85" t="s">
        <v>259</v>
      </c>
      <c r="C40" s="96" t="s">
        <v>11</v>
      </c>
      <c r="D40" s="85" t="s">
        <v>12</v>
      </c>
      <c r="E40" s="96" t="s">
        <v>303</v>
      </c>
      <c r="F40" s="96" t="s">
        <v>20</v>
      </c>
      <c r="G40" s="85" t="s">
        <v>25</v>
      </c>
      <c r="H40" s="98">
        <v>46179</v>
      </c>
      <c r="I40" s="85">
        <v>640000</v>
      </c>
      <c r="J40" s="96">
        <v>4</v>
      </c>
      <c r="K40" s="106">
        <v>92</v>
      </c>
      <c r="L40" s="94" t="str" cm="1">
        <f t="array" ref="L40">_xlfn.IFS(J40&lt;2,"Fresher",J40&lt;=3,"Mid Level",J40&gt;3,"Experienced")</f>
        <v>Experienced</v>
      </c>
      <c r="M40" s="90" t="str" cm="1">
        <f t="array" ref="M40">_xlfn.IFS(I40&gt;=600000,"High",I40&gt;=450000,"Medium",I40&lt;450000,"Low")</f>
        <v>High</v>
      </c>
      <c r="N40" s="94">
        <f t="shared" si="4"/>
        <v>0.05</v>
      </c>
      <c r="O40" s="92" t="str">
        <f t="shared" si="5"/>
        <v>Unique</v>
      </c>
      <c r="P40" s="94">
        <f t="shared" si="6"/>
        <v>6</v>
      </c>
    </row>
    <row r="41" spans="1:16">
      <c r="A41" s="115">
        <v>3101039</v>
      </c>
      <c r="B41" s="85" t="s">
        <v>304</v>
      </c>
      <c r="C41" s="96" t="s">
        <v>27</v>
      </c>
      <c r="D41" s="85" t="s">
        <v>18</v>
      </c>
      <c r="E41" s="96" t="s">
        <v>39</v>
      </c>
      <c r="F41" s="96" t="s">
        <v>34</v>
      </c>
      <c r="G41" s="85" t="s">
        <v>15</v>
      </c>
      <c r="H41" s="98">
        <v>46185</v>
      </c>
      <c r="I41" s="85">
        <v>505000</v>
      </c>
      <c r="J41" s="96">
        <v>1</v>
      </c>
      <c r="K41" s="106">
        <v>69</v>
      </c>
      <c r="L41" s="94" t="str" cm="1">
        <f t="array" ref="L41">_xlfn.IFS(J41&lt;2,"Fresher",J41&lt;=3,"Mid Level",J41&gt;3,"Experienced")</f>
        <v>Fresher</v>
      </c>
      <c r="M41" s="90" t="str" cm="1">
        <f t="array" ref="M41">_xlfn.IFS(I41&gt;=600000,"High",I41&gt;=450000,"Medium",I41&lt;450000,"Low")</f>
        <v>Medium</v>
      </c>
      <c r="N41" s="94">
        <f t="shared" si="4"/>
        <v>0.01</v>
      </c>
      <c r="O41" s="92" t="str">
        <f t="shared" si="5"/>
        <v>Unique</v>
      </c>
      <c r="P41" s="94">
        <f t="shared" si="6"/>
        <v>6</v>
      </c>
    </row>
    <row r="42" spans="1:16">
      <c r="A42" s="115">
        <v>3101040</v>
      </c>
      <c r="B42" s="85" t="s">
        <v>283</v>
      </c>
      <c r="C42" s="96" t="s">
        <v>258</v>
      </c>
      <c r="D42" s="85" t="s">
        <v>28</v>
      </c>
      <c r="E42" s="96" t="s">
        <v>29</v>
      </c>
      <c r="F42" s="96" t="s">
        <v>24</v>
      </c>
      <c r="G42" s="85" t="s">
        <v>21</v>
      </c>
      <c r="H42" s="98">
        <v>46195</v>
      </c>
      <c r="I42" s="85">
        <v>300000</v>
      </c>
      <c r="J42" s="96">
        <v>3</v>
      </c>
      <c r="K42" s="106">
        <v>81</v>
      </c>
      <c r="L42" s="94" t="str" cm="1">
        <f t="array" ref="L42">_xlfn.IFS(J42&lt;2,"Fresher",J42&lt;=3,"Mid Level",J42&gt;3,"Experienced")</f>
        <v>Mid Level</v>
      </c>
      <c r="M42" s="90" t="str" cm="1">
        <f t="array" ref="M42">_xlfn.IFS(I42&gt;=600000,"High",I42&gt;=450000,"Medium",I42&lt;450000,"Low")</f>
        <v>Low</v>
      </c>
      <c r="N42" s="94">
        <f t="shared" si="4"/>
        <v>0.02</v>
      </c>
      <c r="O42" s="92" t="str">
        <f t="shared" si="5"/>
        <v>Unique</v>
      </c>
      <c r="P42" s="94">
        <f t="shared" si="6"/>
        <v>6</v>
      </c>
    </row>
    <row r="43" spans="1:16">
      <c r="A43" s="115">
        <v>3101041</v>
      </c>
      <c r="B43" s="85" t="s">
        <v>278</v>
      </c>
      <c r="C43" s="96" t="s">
        <v>258</v>
      </c>
      <c r="D43" s="85" t="s">
        <v>12</v>
      </c>
      <c r="E43" s="96" t="s">
        <v>23</v>
      </c>
      <c r="F43" s="96" t="s">
        <v>14</v>
      </c>
      <c r="G43" s="85" t="s">
        <v>256</v>
      </c>
      <c r="H43" s="98">
        <v>46235</v>
      </c>
      <c r="I43" s="85">
        <v>435000</v>
      </c>
      <c r="J43" s="96">
        <v>0</v>
      </c>
      <c r="K43" s="106">
        <v>94</v>
      </c>
      <c r="L43" s="94" t="str" cm="1">
        <f t="array" ref="L43">_xlfn.IFS(J43&lt;2,"Fresher",J43&lt;=3,"Mid Level",J43&gt;3,"Experienced")</f>
        <v>Fresher</v>
      </c>
      <c r="M43" s="90" t="str" cm="1">
        <f t="array" ref="M43">_xlfn.IFS(I43&gt;=600000,"High",I43&gt;=450000,"Medium",I43&lt;450000,"Low")</f>
        <v>Low</v>
      </c>
      <c r="N43" s="94">
        <f t="shared" si="4"/>
        <v>0.02</v>
      </c>
      <c r="O43" s="92" t="str">
        <f t="shared" si="5"/>
        <v>Unique</v>
      </c>
      <c r="P43" s="94">
        <f t="shared" si="6"/>
        <v>8</v>
      </c>
    </row>
    <row r="44" spans="1:16">
      <c r="A44" s="115">
        <v>3101042</v>
      </c>
      <c r="B44" s="85" t="s">
        <v>304</v>
      </c>
      <c r="C44" s="96" t="s">
        <v>264</v>
      </c>
      <c r="D44" s="85" t="s">
        <v>32</v>
      </c>
      <c r="E44" s="96" t="s">
        <v>33</v>
      </c>
      <c r="F44" s="96" t="s">
        <v>34</v>
      </c>
      <c r="G44" s="85" t="s">
        <v>21</v>
      </c>
      <c r="H44" s="98">
        <v>46176</v>
      </c>
      <c r="I44" s="85">
        <v>425000</v>
      </c>
      <c r="J44" s="96">
        <v>3</v>
      </c>
      <c r="K44" s="106">
        <v>77</v>
      </c>
      <c r="L44" s="94" t="str" cm="1">
        <f t="array" ref="L44">_xlfn.IFS(J44&lt;2,"Fresher",J44&lt;=3,"Mid Level",J44&gt;3,"Experienced")</f>
        <v>Mid Level</v>
      </c>
      <c r="M44" s="90" t="str" cm="1">
        <f t="array" ref="M44">_xlfn.IFS(I44&gt;=600000,"High",I44&gt;=450000,"Medium",I44&lt;450000,"Low")</f>
        <v>Low</v>
      </c>
      <c r="N44" s="94">
        <f t="shared" si="4"/>
        <v>0.01</v>
      </c>
      <c r="O44" s="92" t="str">
        <f t="shared" si="5"/>
        <v>Unique</v>
      </c>
      <c r="P44" s="94">
        <f t="shared" si="6"/>
        <v>6</v>
      </c>
    </row>
    <row r="45" spans="1:16">
      <c r="A45" s="115">
        <v>3101043</v>
      </c>
      <c r="B45" s="85" t="s">
        <v>45</v>
      </c>
      <c r="C45" s="96" t="s">
        <v>27</v>
      </c>
      <c r="D45" s="85" t="s">
        <v>18</v>
      </c>
      <c r="E45" s="96" t="s">
        <v>39</v>
      </c>
      <c r="F45" s="96" t="s">
        <v>24</v>
      </c>
      <c r="G45" s="85" t="s">
        <v>21</v>
      </c>
      <c r="H45" s="98">
        <v>46231</v>
      </c>
      <c r="I45" s="85">
        <v>510000</v>
      </c>
      <c r="J45" s="96">
        <v>3</v>
      </c>
      <c r="K45" s="106">
        <v>72</v>
      </c>
      <c r="L45" s="94" t="str" cm="1">
        <f t="array" ref="L45">_xlfn.IFS(J45&lt;2,"Fresher",J45&lt;=3,"Mid Level",J45&gt;3,"Experienced")</f>
        <v>Mid Level</v>
      </c>
      <c r="M45" s="90" t="str" cm="1">
        <f t="array" ref="M45">_xlfn.IFS(I45&gt;=600000,"High",I45&gt;=450000,"Medium",I45&lt;450000,"Low")</f>
        <v>Medium</v>
      </c>
      <c r="N45" s="94">
        <f t="shared" si="4"/>
        <v>0.02</v>
      </c>
      <c r="O45" s="92" t="str">
        <f t="shared" si="5"/>
        <v>Unique</v>
      </c>
      <c r="P45" s="94">
        <f t="shared" si="6"/>
        <v>7</v>
      </c>
    </row>
    <row r="46" spans="1:16">
      <c r="A46" s="115">
        <v>3101044</v>
      </c>
      <c r="B46" s="85" t="s">
        <v>272</v>
      </c>
      <c r="C46" s="96" t="s">
        <v>17</v>
      </c>
      <c r="D46" s="85" t="s">
        <v>18</v>
      </c>
      <c r="E46" s="96" t="s">
        <v>19</v>
      </c>
      <c r="F46" s="96" t="s">
        <v>20</v>
      </c>
      <c r="G46" s="85" t="s">
        <v>15</v>
      </c>
      <c r="H46" s="98">
        <v>46189</v>
      </c>
      <c r="I46" s="85">
        <v>470000</v>
      </c>
      <c r="J46" s="96">
        <v>0</v>
      </c>
      <c r="K46" s="106">
        <v>90</v>
      </c>
      <c r="L46" s="94" t="str" cm="1">
        <f t="array" ref="L46">_xlfn.IFS(J46&lt;2,"Fresher",J46&lt;=3,"Mid Level",J46&gt;3,"Experienced")</f>
        <v>Fresher</v>
      </c>
      <c r="M46" s="90" t="str" cm="1">
        <f t="array" ref="M46">_xlfn.IFS(I46&gt;=600000,"High",I46&gt;=450000,"Medium",I46&lt;450000,"Low")</f>
        <v>Medium</v>
      </c>
      <c r="N46" s="94">
        <f t="shared" si="4"/>
        <v>0.05</v>
      </c>
      <c r="O46" s="92" t="str">
        <f t="shared" si="5"/>
        <v>Unique</v>
      </c>
      <c r="P46" s="94">
        <f t="shared" si="6"/>
        <v>6</v>
      </c>
    </row>
    <row r="47" spans="1:16">
      <c r="A47" s="115">
        <v>3101045</v>
      </c>
      <c r="B47" s="85" t="s">
        <v>294</v>
      </c>
      <c r="C47" s="96" t="s">
        <v>268</v>
      </c>
      <c r="D47" s="85" t="s">
        <v>32</v>
      </c>
      <c r="E47" s="96" t="s">
        <v>33</v>
      </c>
      <c r="F47" s="96" t="s">
        <v>24</v>
      </c>
      <c r="G47" s="85" t="s">
        <v>21</v>
      </c>
      <c r="H47" s="98">
        <v>46150</v>
      </c>
      <c r="I47" s="85">
        <v>445000</v>
      </c>
      <c r="J47" s="96">
        <v>1</v>
      </c>
      <c r="K47" s="106">
        <v>74</v>
      </c>
      <c r="L47" s="94" t="str" cm="1">
        <f t="array" ref="L47">_xlfn.IFS(J47&lt;2,"Fresher",J47&lt;=3,"Mid Level",J47&gt;3,"Experienced")</f>
        <v>Fresher</v>
      </c>
      <c r="M47" s="90" t="str" cm="1">
        <f t="array" ref="M47">_xlfn.IFS(I47&gt;=600000,"High",I47&gt;=450000,"Medium",I47&lt;450000,"Low")</f>
        <v>Low</v>
      </c>
      <c r="N47" s="94">
        <f t="shared" si="4"/>
        <v>0.02</v>
      </c>
      <c r="O47" s="92" t="str">
        <f t="shared" si="5"/>
        <v>Unique</v>
      </c>
      <c r="P47" s="94">
        <f t="shared" si="6"/>
        <v>5</v>
      </c>
    </row>
    <row r="48" spans="1:16">
      <c r="A48" s="115">
        <v>3101046</v>
      </c>
      <c r="B48" s="85" t="s">
        <v>255</v>
      </c>
      <c r="C48" s="96" t="s">
        <v>27</v>
      </c>
      <c r="D48" s="85" t="s">
        <v>12</v>
      </c>
      <c r="E48" s="96" t="s">
        <v>36</v>
      </c>
      <c r="F48" s="96" t="s">
        <v>24</v>
      </c>
      <c r="G48" s="85" t="s">
        <v>21</v>
      </c>
      <c r="H48" s="98">
        <v>46253</v>
      </c>
      <c r="I48" s="85">
        <v>765000</v>
      </c>
      <c r="J48" s="96">
        <v>4</v>
      </c>
      <c r="K48" s="106">
        <v>85</v>
      </c>
      <c r="L48" s="94" t="str" cm="1">
        <f t="array" ref="L48">_xlfn.IFS(J48&lt;2,"Fresher",J48&lt;=3,"Mid Level",J48&gt;3,"Experienced")</f>
        <v>Experienced</v>
      </c>
      <c r="M48" s="90" t="str" cm="1">
        <f t="array" ref="M48">_xlfn.IFS(I48&gt;=600000,"High",I48&gt;=450000,"Medium",I48&lt;450000,"Low")</f>
        <v>High</v>
      </c>
      <c r="N48" s="94">
        <f t="shared" si="4"/>
        <v>0.02</v>
      </c>
      <c r="O48" s="92" t="str">
        <f t="shared" si="5"/>
        <v>Unique</v>
      </c>
      <c r="P48" s="94">
        <f t="shared" si="6"/>
        <v>8</v>
      </c>
    </row>
    <row r="49" spans="1:16">
      <c r="A49" s="115">
        <v>3101047</v>
      </c>
      <c r="B49" s="85" t="s">
        <v>305</v>
      </c>
      <c r="C49" s="96" t="s">
        <v>258</v>
      </c>
      <c r="D49" s="85" t="s">
        <v>12</v>
      </c>
      <c r="E49" s="96" t="s">
        <v>261</v>
      </c>
      <c r="F49" s="96" t="s">
        <v>24</v>
      </c>
      <c r="G49" s="85" t="s">
        <v>21</v>
      </c>
      <c r="H49" s="98">
        <v>46212</v>
      </c>
      <c r="I49" s="85">
        <v>575000</v>
      </c>
      <c r="J49" s="96">
        <v>3</v>
      </c>
      <c r="K49" s="106">
        <v>94</v>
      </c>
      <c r="L49" s="94" t="str" cm="1">
        <f t="array" ref="L49">_xlfn.IFS(J49&lt;2,"Fresher",J49&lt;=3,"Mid Level",J49&gt;3,"Experienced")</f>
        <v>Mid Level</v>
      </c>
      <c r="M49" s="90" t="str" cm="1">
        <f t="array" ref="M49">_xlfn.IFS(I49&gt;=600000,"High",I49&gt;=450000,"Medium",I49&lt;450000,"Low")</f>
        <v>Medium</v>
      </c>
      <c r="N49" s="94">
        <f t="shared" si="4"/>
        <v>0.02</v>
      </c>
      <c r="O49" s="92" t="str">
        <f t="shared" si="5"/>
        <v>Unique</v>
      </c>
      <c r="P49" s="94">
        <f t="shared" si="6"/>
        <v>7</v>
      </c>
    </row>
    <row r="50" spans="1:16">
      <c r="A50" s="115">
        <v>3101048</v>
      </c>
      <c r="B50" s="85" t="s">
        <v>306</v>
      </c>
      <c r="C50" s="96" t="s">
        <v>260</v>
      </c>
      <c r="D50" s="85" t="s">
        <v>28</v>
      </c>
      <c r="E50" s="96" t="s">
        <v>297</v>
      </c>
      <c r="F50" s="96" t="s">
        <v>24</v>
      </c>
      <c r="G50" s="85" t="s">
        <v>21</v>
      </c>
      <c r="H50" s="98">
        <v>46268</v>
      </c>
      <c r="I50" s="85">
        <v>415000</v>
      </c>
      <c r="J50" s="96">
        <v>3</v>
      </c>
      <c r="K50" s="106">
        <v>68</v>
      </c>
      <c r="L50" s="94" t="str" cm="1">
        <f t="array" ref="L50">_xlfn.IFS(J50&lt;2,"Fresher",J50&lt;=3,"Mid Level",J50&gt;3,"Experienced")</f>
        <v>Mid Level</v>
      </c>
      <c r="M50" s="90" t="str" cm="1">
        <f t="array" ref="M50">_xlfn.IFS(I50&gt;=600000,"High",I50&gt;=450000,"Medium",I50&lt;450000,"Low")</f>
        <v>Low</v>
      </c>
      <c r="N50" s="94">
        <f t="shared" si="4"/>
        <v>0.02</v>
      </c>
      <c r="O50" s="92" t="str">
        <f t="shared" si="5"/>
        <v>Unique</v>
      </c>
      <c r="P50" s="94">
        <f t="shared" si="6"/>
        <v>9</v>
      </c>
    </row>
    <row r="51" spans="1:16">
      <c r="A51" s="115">
        <v>3101049</v>
      </c>
      <c r="B51" s="85" t="s">
        <v>271</v>
      </c>
      <c r="C51" s="96" t="s">
        <v>17</v>
      </c>
      <c r="D51" s="85" t="s">
        <v>12</v>
      </c>
      <c r="E51" s="96" t="s">
        <v>265</v>
      </c>
      <c r="F51" s="96" t="s">
        <v>24</v>
      </c>
      <c r="G51" s="85" t="s">
        <v>15</v>
      </c>
      <c r="H51" s="98">
        <v>46168</v>
      </c>
      <c r="I51" s="85">
        <v>610000</v>
      </c>
      <c r="J51" s="96">
        <v>3</v>
      </c>
      <c r="K51" s="106">
        <v>87</v>
      </c>
      <c r="L51" s="94" t="str" cm="1">
        <f t="array" ref="L51">_xlfn.IFS(J51&lt;2,"Fresher",J51&lt;=3,"Mid Level",J51&gt;3,"Experienced")</f>
        <v>Mid Level</v>
      </c>
      <c r="M51" s="90" t="str" cm="1">
        <f t="array" ref="M51">_xlfn.IFS(I51&gt;=600000,"High",I51&gt;=450000,"Medium",I51&lt;450000,"Low")</f>
        <v>High</v>
      </c>
      <c r="N51" s="94">
        <f t="shared" si="4"/>
        <v>0.02</v>
      </c>
      <c r="O51" s="92" t="str">
        <f t="shared" si="5"/>
        <v>Unique</v>
      </c>
      <c r="P51" s="94">
        <f t="shared" si="6"/>
        <v>5</v>
      </c>
    </row>
    <row r="52" spans="1:16">
      <c r="A52" s="115">
        <v>3101050</v>
      </c>
      <c r="B52" s="85" t="s">
        <v>307</v>
      </c>
      <c r="C52" s="96" t="s">
        <v>27</v>
      </c>
      <c r="D52" s="85" t="s">
        <v>12</v>
      </c>
      <c r="E52" s="96" t="s">
        <v>13</v>
      </c>
      <c r="F52" s="96" t="s">
        <v>34</v>
      </c>
      <c r="G52" s="85" t="s">
        <v>256</v>
      </c>
      <c r="H52" s="98">
        <v>46235</v>
      </c>
      <c r="I52" s="85">
        <v>595000</v>
      </c>
      <c r="J52" s="96">
        <v>4</v>
      </c>
      <c r="K52" s="106">
        <v>81.403265306122407</v>
      </c>
      <c r="L52" s="94" t="str" cm="1">
        <f t="array" ref="L52">_xlfn.IFS(J52&lt;2,"Fresher",J52&lt;=3,"Mid Level",J52&gt;3,"Experienced")</f>
        <v>Experienced</v>
      </c>
      <c r="M52" s="90" t="str" cm="1">
        <f t="array" ref="M52">_xlfn.IFS(I52&gt;=600000,"High",I52&gt;=450000,"Medium",I52&lt;450000,"Low")</f>
        <v>Medium</v>
      </c>
      <c r="N52" s="94">
        <f t="shared" si="4"/>
        <v>0.01</v>
      </c>
      <c r="O52" s="92" t="str">
        <f t="shared" si="5"/>
        <v>Unique</v>
      </c>
      <c r="P52" s="94">
        <f t="shared" si="6"/>
        <v>8</v>
      </c>
    </row>
    <row r="53" spans="1:16">
      <c r="A53" s="115">
        <v>3101051</v>
      </c>
      <c r="B53" s="85" t="s">
        <v>255</v>
      </c>
      <c r="C53" s="96" t="s">
        <v>17</v>
      </c>
      <c r="D53" s="85" t="s">
        <v>18</v>
      </c>
      <c r="E53" s="96" t="s">
        <v>39</v>
      </c>
      <c r="F53" s="96" t="s">
        <v>34</v>
      </c>
      <c r="G53" s="85" t="s">
        <v>25</v>
      </c>
      <c r="H53" s="98">
        <v>46290</v>
      </c>
      <c r="I53" s="85">
        <v>385000</v>
      </c>
      <c r="J53" s="96">
        <v>5</v>
      </c>
      <c r="K53" s="106">
        <v>81.406530612244893</v>
      </c>
      <c r="L53" s="94" t="str" cm="1">
        <f t="array" ref="L53">_xlfn.IFS(J53&lt;2,"Fresher",J53&lt;=3,"Mid Level",J53&gt;3,"Experienced")</f>
        <v>Experienced</v>
      </c>
      <c r="M53" s="90" t="str" cm="1">
        <f t="array" ref="M53">_xlfn.IFS(I53&gt;=600000,"High",I53&gt;=450000,"Medium",I53&lt;450000,"Low")</f>
        <v>Low</v>
      </c>
      <c r="N53" s="94">
        <f t="shared" si="4"/>
        <v>0.01</v>
      </c>
      <c r="O53" s="92" t="str">
        <f t="shared" si="5"/>
        <v>Unique</v>
      </c>
      <c r="P53" s="94">
        <f t="shared" si="6"/>
        <v>9</v>
      </c>
    </row>
    <row r="54" spans="1:16">
      <c r="A54" s="115">
        <v>3101052</v>
      </c>
      <c r="B54" s="85" t="s">
        <v>263</v>
      </c>
      <c r="C54" s="96" t="s">
        <v>260</v>
      </c>
      <c r="D54" s="85" t="s">
        <v>32</v>
      </c>
      <c r="E54" s="96" t="s">
        <v>33</v>
      </c>
      <c r="F54" s="96" t="s">
        <v>24</v>
      </c>
      <c r="G54" s="85" t="s">
        <v>15</v>
      </c>
      <c r="H54" s="98">
        <v>46212</v>
      </c>
      <c r="I54" s="85">
        <v>415000</v>
      </c>
      <c r="J54" s="96">
        <v>0</v>
      </c>
      <c r="K54" s="106">
        <v>81.409795918367294</v>
      </c>
      <c r="L54" s="94" t="str" cm="1">
        <f t="array" ref="L54">_xlfn.IFS(J54&lt;2,"Fresher",J54&lt;=3,"Mid Level",J54&gt;3,"Experienced")</f>
        <v>Fresher</v>
      </c>
      <c r="M54" s="90" t="str" cm="1">
        <f t="array" ref="M54">_xlfn.IFS(I54&gt;=600000,"High",I54&gt;=450000,"Medium",I54&lt;450000,"Low")</f>
        <v>Low</v>
      </c>
      <c r="N54" s="94">
        <f t="shared" si="4"/>
        <v>0.02</v>
      </c>
      <c r="O54" s="92" t="str">
        <f t="shared" si="5"/>
        <v>Unique</v>
      </c>
      <c r="P54" s="94">
        <f t="shared" si="6"/>
        <v>7</v>
      </c>
    </row>
    <row r="55" spans="1:16">
      <c r="A55" s="115">
        <v>3101053</v>
      </c>
      <c r="B55" s="85" t="s">
        <v>45</v>
      </c>
      <c r="C55" s="96" t="s">
        <v>17</v>
      </c>
      <c r="D55" s="85" t="s">
        <v>32</v>
      </c>
      <c r="E55" s="96" t="s">
        <v>33</v>
      </c>
      <c r="F55" s="96" t="s">
        <v>14</v>
      </c>
      <c r="G55" s="85" t="s">
        <v>25</v>
      </c>
      <c r="H55" s="98">
        <v>46192</v>
      </c>
      <c r="I55" s="85">
        <v>310000</v>
      </c>
      <c r="J55" s="96">
        <v>5</v>
      </c>
      <c r="K55" s="106">
        <v>79</v>
      </c>
      <c r="L55" s="94" t="str" cm="1">
        <f t="array" ref="L55">_xlfn.IFS(J55&lt;2,"Fresher",J55&lt;=3,"Mid Level",J55&gt;3,"Experienced")</f>
        <v>Experienced</v>
      </c>
      <c r="M55" s="90" t="str" cm="1">
        <f t="array" ref="M55">_xlfn.IFS(I55&gt;=600000,"High",I55&gt;=450000,"Medium",I55&lt;450000,"Low")</f>
        <v>Low</v>
      </c>
      <c r="N55" s="94">
        <f t="shared" si="4"/>
        <v>0.02</v>
      </c>
      <c r="O55" s="92" t="str">
        <f t="shared" si="5"/>
        <v>Unique</v>
      </c>
      <c r="P55" s="94">
        <f t="shared" si="6"/>
        <v>6</v>
      </c>
    </row>
    <row r="56" spans="1:16">
      <c r="A56" s="115">
        <v>3101054</v>
      </c>
      <c r="B56" s="85" t="s">
        <v>252</v>
      </c>
      <c r="C56" s="96" t="s">
        <v>260</v>
      </c>
      <c r="D56" s="85" t="s">
        <v>18</v>
      </c>
      <c r="E56" s="96" t="s">
        <v>39</v>
      </c>
      <c r="F56" s="96" t="s">
        <v>14</v>
      </c>
      <c r="G56" s="85" t="s">
        <v>21</v>
      </c>
      <c r="H56" s="98">
        <v>46225</v>
      </c>
      <c r="I56" s="85">
        <v>400000</v>
      </c>
      <c r="J56" s="96">
        <v>1</v>
      </c>
      <c r="K56" s="106">
        <v>71</v>
      </c>
      <c r="L56" s="94" t="str" cm="1">
        <f t="array" ref="L56">_xlfn.IFS(J56&lt;2,"Fresher",J56&lt;=3,"Mid Level",J56&gt;3,"Experienced")</f>
        <v>Fresher</v>
      </c>
      <c r="M56" s="90" t="str" cm="1">
        <f t="array" ref="M56">_xlfn.IFS(I56&gt;=600000,"High",I56&gt;=450000,"Medium",I56&lt;450000,"Low")</f>
        <v>Low</v>
      </c>
      <c r="N56" s="94">
        <f t="shared" si="4"/>
        <v>0.02</v>
      </c>
      <c r="O56" s="92" t="str">
        <f t="shared" si="5"/>
        <v>Unique</v>
      </c>
      <c r="P56" s="94">
        <f t="shared" si="6"/>
        <v>7</v>
      </c>
    </row>
    <row r="57" spans="1:16">
      <c r="A57" s="115">
        <v>3101055</v>
      </c>
      <c r="B57" s="85" t="s">
        <v>279</v>
      </c>
      <c r="C57" s="96" t="s">
        <v>17</v>
      </c>
      <c r="D57" s="85" t="s">
        <v>12</v>
      </c>
      <c r="E57" s="96" t="s">
        <v>13</v>
      </c>
      <c r="F57" s="96" t="s">
        <v>20</v>
      </c>
      <c r="G57" s="85" t="s">
        <v>256</v>
      </c>
      <c r="H57" s="98">
        <v>46210</v>
      </c>
      <c r="I57" s="85">
        <v>380000</v>
      </c>
      <c r="J57" s="96">
        <v>3</v>
      </c>
      <c r="K57" s="106">
        <v>89</v>
      </c>
      <c r="L57" s="94" t="str" cm="1">
        <f t="array" ref="L57">_xlfn.IFS(J57&lt;2,"Fresher",J57&lt;=3,"Mid Level",J57&gt;3,"Experienced")</f>
        <v>Mid Level</v>
      </c>
      <c r="M57" s="90" t="str" cm="1">
        <f t="array" ref="M57">_xlfn.IFS(I57&gt;=600000,"High",I57&gt;=450000,"Medium",I57&lt;450000,"Low")</f>
        <v>Low</v>
      </c>
      <c r="N57" s="94">
        <f t="shared" si="4"/>
        <v>0.05</v>
      </c>
      <c r="O57" s="92" t="str">
        <f t="shared" si="5"/>
        <v>Unique</v>
      </c>
      <c r="P57" s="94">
        <f t="shared" si="6"/>
        <v>7</v>
      </c>
    </row>
    <row r="58" spans="1:16">
      <c r="A58" s="115">
        <v>3101056</v>
      </c>
      <c r="B58" s="85" t="s">
        <v>308</v>
      </c>
      <c r="C58" s="96" t="s">
        <v>17</v>
      </c>
      <c r="D58" s="85" t="s">
        <v>12</v>
      </c>
      <c r="E58" s="96" t="s">
        <v>265</v>
      </c>
      <c r="F58" s="96" t="s">
        <v>14</v>
      </c>
      <c r="G58" s="85" t="s">
        <v>21</v>
      </c>
      <c r="H58" s="98">
        <v>46169</v>
      </c>
      <c r="I58" s="85">
        <v>755000</v>
      </c>
      <c r="J58" s="96">
        <v>5</v>
      </c>
      <c r="K58" s="106">
        <v>67</v>
      </c>
      <c r="L58" s="94" t="str" cm="1">
        <f t="array" ref="L58">_xlfn.IFS(J58&lt;2,"Fresher",J58&lt;=3,"Mid Level",J58&gt;3,"Experienced")</f>
        <v>Experienced</v>
      </c>
      <c r="M58" s="90" t="str" cm="1">
        <f t="array" ref="M58">_xlfn.IFS(I58&gt;=600000,"High",I58&gt;=450000,"Medium",I58&lt;450000,"Low")</f>
        <v>High</v>
      </c>
      <c r="N58" s="94">
        <f t="shared" si="4"/>
        <v>0.02</v>
      </c>
      <c r="O58" s="92" t="str">
        <f t="shared" si="5"/>
        <v>Duplicate</v>
      </c>
      <c r="P58" s="94">
        <f t="shared" si="6"/>
        <v>5</v>
      </c>
    </row>
    <row r="59" spans="1:16">
      <c r="A59" s="115">
        <v>3101057</v>
      </c>
      <c r="B59" s="85" t="s">
        <v>46</v>
      </c>
      <c r="C59" s="96" t="s">
        <v>264</v>
      </c>
      <c r="D59" s="85" t="s">
        <v>28</v>
      </c>
      <c r="E59" s="96" t="s">
        <v>297</v>
      </c>
      <c r="F59" s="96" t="s">
        <v>14</v>
      </c>
      <c r="G59" s="85" t="s">
        <v>256</v>
      </c>
      <c r="H59" s="98">
        <v>46225</v>
      </c>
      <c r="I59" s="85">
        <v>445000</v>
      </c>
      <c r="J59" s="96">
        <v>4</v>
      </c>
      <c r="K59" s="106">
        <v>86</v>
      </c>
      <c r="L59" s="94" t="str" cm="1">
        <f t="array" ref="L59">_xlfn.IFS(J59&lt;2,"Fresher",J59&lt;=3,"Mid Level",J59&gt;3,"Experienced")</f>
        <v>Experienced</v>
      </c>
      <c r="M59" s="90" t="str" cm="1">
        <f t="array" ref="M59">_xlfn.IFS(I59&gt;=600000,"High",I59&gt;=450000,"Medium",I59&lt;450000,"Low")</f>
        <v>Low</v>
      </c>
      <c r="N59" s="94">
        <f t="shared" si="4"/>
        <v>0.02</v>
      </c>
      <c r="O59" s="92" t="str">
        <f t="shared" si="5"/>
        <v>Unique</v>
      </c>
      <c r="P59" s="94">
        <f t="shared" si="6"/>
        <v>7</v>
      </c>
    </row>
    <row r="60" spans="1:16">
      <c r="A60" s="115">
        <v>3101058</v>
      </c>
      <c r="B60" s="85" t="s">
        <v>301</v>
      </c>
      <c r="C60" s="96" t="s">
        <v>258</v>
      </c>
      <c r="D60" s="85" t="s">
        <v>32</v>
      </c>
      <c r="E60" s="96" t="s">
        <v>33</v>
      </c>
      <c r="F60" s="96" t="s">
        <v>14</v>
      </c>
      <c r="G60" s="85" t="s">
        <v>25</v>
      </c>
      <c r="H60" s="98">
        <v>46273</v>
      </c>
      <c r="I60" s="85">
        <v>360000</v>
      </c>
      <c r="J60" s="96">
        <v>5</v>
      </c>
      <c r="K60" s="106">
        <v>92</v>
      </c>
      <c r="L60" s="94" t="str" cm="1">
        <f t="array" ref="L60">_xlfn.IFS(J60&lt;2,"Fresher",J60&lt;=3,"Mid Level",J60&gt;3,"Experienced")</f>
        <v>Experienced</v>
      </c>
      <c r="M60" s="90" t="str" cm="1">
        <f t="array" ref="M60">_xlfn.IFS(I60&gt;=600000,"High",I60&gt;=450000,"Medium",I60&lt;450000,"Low")</f>
        <v>Low</v>
      </c>
      <c r="N60" s="94">
        <f t="shared" si="4"/>
        <v>0.02</v>
      </c>
      <c r="O60" s="92" t="str">
        <f t="shared" si="5"/>
        <v>Unique</v>
      </c>
      <c r="P60" s="94">
        <f t="shared" si="6"/>
        <v>9</v>
      </c>
    </row>
    <row r="61" spans="1:16">
      <c r="A61" s="115">
        <v>3101059</v>
      </c>
      <c r="B61" s="85" t="s">
        <v>309</v>
      </c>
      <c r="C61" s="96" t="s">
        <v>260</v>
      </c>
      <c r="D61" s="85" t="s">
        <v>12</v>
      </c>
      <c r="E61" s="96" t="s">
        <v>303</v>
      </c>
      <c r="F61" s="96" t="s">
        <v>14</v>
      </c>
      <c r="G61" s="85" t="s">
        <v>25</v>
      </c>
      <c r="H61" s="98">
        <v>46256</v>
      </c>
      <c r="I61" s="85">
        <v>680000</v>
      </c>
      <c r="J61" s="96">
        <v>0</v>
      </c>
      <c r="K61" s="106">
        <v>69</v>
      </c>
      <c r="L61" s="94" t="str" cm="1">
        <f t="array" ref="L61">_xlfn.IFS(J61&lt;2,"Fresher",J61&lt;=3,"Mid Level",J61&gt;3,"Experienced")</f>
        <v>Fresher</v>
      </c>
      <c r="M61" s="90" t="str" cm="1">
        <f t="array" ref="M61">_xlfn.IFS(I61&gt;=600000,"High",I61&gt;=450000,"Medium",I61&lt;450000,"Low")</f>
        <v>High</v>
      </c>
      <c r="N61" s="94">
        <f t="shared" si="4"/>
        <v>0.02</v>
      </c>
      <c r="O61" s="92" t="str">
        <f t="shared" si="5"/>
        <v>Unique</v>
      </c>
      <c r="P61" s="94">
        <f t="shared" si="6"/>
        <v>8</v>
      </c>
    </row>
    <row r="62" spans="1:16">
      <c r="A62" s="115">
        <v>3101060</v>
      </c>
      <c r="B62" s="85" t="s">
        <v>270</v>
      </c>
      <c r="C62" s="96" t="s">
        <v>260</v>
      </c>
      <c r="D62" s="85" t="s">
        <v>32</v>
      </c>
      <c r="E62" s="96" t="s">
        <v>300</v>
      </c>
      <c r="F62" s="96" t="s">
        <v>14</v>
      </c>
      <c r="G62" s="85" t="s">
        <v>21</v>
      </c>
      <c r="H62" s="98">
        <v>46251</v>
      </c>
      <c r="I62" s="85">
        <v>370000</v>
      </c>
      <c r="J62" s="96">
        <v>2</v>
      </c>
      <c r="K62" s="106">
        <v>81</v>
      </c>
      <c r="L62" s="94" t="str" cm="1">
        <f t="array" ref="L62">_xlfn.IFS(J62&lt;2,"Fresher",J62&lt;=3,"Mid Level",J62&gt;3,"Experienced")</f>
        <v>Mid Level</v>
      </c>
      <c r="M62" s="90" t="str" cm="1">
        <f t="array" ref="M62">_xlfn.IFS(I62&gt;=600000,"High",I62&gt;=450000,"Medium",I62&lt;450000,"Low")</f>
        <v>Low</v>
      </c>
      <c r="N62" s="94">
        <f t="shared" si="4"/>
        <v>0.02</v>
      </c>
      <c r="O62" s="92" t="str">
        <f t="shared" si="5"/>
        <v>Unique</v>
      </c>
      <c r="P62" s="94">
        <f t="shared" si="6"/>
        <v>8</v>
      </c>
    </row>
    <row r="63" spans="1:16">
      <c r="A63" s="115">
        <v>3101061</v>
      </c>
      <c r="B63" s="85" t="s">
        <v>285</v>
      </c>
      <c r="C63" s="96" t="s">
        <v>264</v>
      </c>
      <c r="D63" s="85" t="s">
        <v>12</v>
      </c>
      <c r="E63" s="96" t="s">
        <v>265</v>
      </c>
      <c r="F63" s="96" t="s">
        <v>14</v>
      </c>
      <c r="G63" s="85" t="s">
        <v>25</v>
      </c>
      <c r="H63" s="98">
        <v>46173</v>
      </c>
      <c r="I63" s="85">
        <v>795000</v>
      </c>
      <c r="J63" s="96">
        <v>1</v>
      </c>
      <c r="K63" s="106">
        <v>94</v>
      </c>
      <c r="L63" s="94" t="str" cm="1">
        <f t="array" ref="L63">_xlfn.IFS(J63&lt;2,"Fresher",J63&lt;=3,"Mid Level",J63&gt;3,"Experienced")</f>
        <v>Fresher</v>
      </c>
      <c r="M63" s="90" t="str" cm="1">
        <f t="array" ref="M63">_xlfn.IFS(I63&gt;=600000,"High",I63&gt;=450000,"Medium",I63&lt;450000,"Low")</f>
        <v>High</v>
      </c>
      <c r="N63" s="94">
        <f t="shared" si="4"/>
        <v>0.02</v>
      </c>
      <c r="O63" s="92" t="str">
        <f t="shared" si="5"/>
        <v>Unique</v>
      </c>
      <c r="P63" s="94">
        <f t="shared" si="6"/>
        <v>5</v>
      </c>
    </row>
    <row r="64" spans="1:16">
      <c r="A64" s="115">
        <v>3101062</v>
      </c>
      <c r="B64" s="85" t="s">
        <v>286</v>
      </c>
      <c r="C64" s="96" t="s">
        <v>17</v>
      </c>
      <c r="D64" s="85" t="s">
        <v>12</v>
      </c>
      <c r="E64" s="96" t="s">
        <v>13</v>
      </c>
      <c r="F64" s="96" t="s">
        <v>24</v>
      </c>
      <c r="G64" s="85" t="s">
        <v>21</v>
      </c>
      <c r="H64" s="98">
        <v>46222</v>
      </c>
      <c r="I64" s="85">
        <v>515000</v>
      </c>
      <c r="J64" s="96">
        <v>0</v>
      </c>
      <c r="K64" s="106">
        <v>77</v>
      </c>
      <c r="L64" s="94" t="str" cm="1">
        <f t="array" ref="L64">_xlfn.IFS(J64&lt;2,"Fresher",J64&lt;=3,"Mid Level",J64&gt;3,"Experienced")</f>
        <v>Fresher</v>
      </c>
      <c r="M64" s="90" t="str" cm="1">
        <f t="array" ref="M64">_xlfn.IFS(I64&gt;=600000,"High",I64&gt;=450000,"Medium",I64&lt;450000,"Low")</f>
        <v>Medium</v>
      </c>
      <c r="N64" s="94">
        <f t="shared" si="4"/>
        <v>0.02</v>
      </c>
      <c r="O64" s="92" t="str">
        <f t="shared" si="5"/>
        <v>Unique</v>
      </c>
      <c r="P64" s="94">
        <f t="shared" si="6"/>
        <v>7</v>
      </c>
    </row>
    <row r="65" spans="1:16">
      <c r="A65" s="115">
        <v>3101063</v>
      </c>
      <c r="B65" s="85" t="s">
        <v>275</v>
      </c>
      <c r="C65" s="96" t="s">
        <v>264</v>
      </c>
      <c r="D65" s="85" t="s">
        <v>28</v>
      </c>
      <c r="E65" s="96" t="s">
        <v>29</v>
      </c>
      <c r="F65" s="96" t="s">
        <v>20</v>
      </c>
      <c r="G65" s="85" t="s">
        <v>21</v>
      </c>
      <c r="H65" s="98">
        <v>46252</v>
      </c>
      <c r="I65" s="85">
        <v>370000</v>
      </c>
      <c r="J65" s="96">
        <v>5</v>
      </c>
      <c r="K65" s="106">
        <v>72</v>
      </c>
      <c r="L65" s="94" t="str" cm="1">
        <f t="array" ref="L65">_xlfn.IFS(J65&lt;2,"Fresher",J65&lt;=3,"Mid Level",J65&gt;3,"Experienced")</f>
        <v>Experienced</v>
      </c>
      <c r="M65" s="90" t="str" cm="1">
        <f t="array" ref="M65">_xlfn.IFS(I65&gt;=600000,"High",I65&gt;=450000,"Medium",I65&lt;450000,"Low")</f>
        <v>Low</v>
      </c>
      <c r="N65" s="94">
        <f t="shared" si="4"/>
        <v>0.05</v>
      </c>
      <c r="O65" s="92" t="str">
        <f t="shared" si="5"/>
        <v>Unique</v>
      </c>
      <c r="P65" s="94">
        <f t="shared" si="6"/>
        <v>8</v>
      </c>
    </row>
    <row r="66" spans="1:16">
      <c r="A66" s="115">
        <v>3101064</v>
      </c>
      <c r="B66" s="85" t="s">
        <v>275</v>
      </c>
      <c r="C66" s="96" t="s">
        <v>27</v>
      </c>
      <c r="D66" s="85" t="s">
        <v>18</v>
      </c>
      <c r="E66" s="96" t="s">
        <v>19</v>
      </c>
      <c r="F66" s="96" t="s">
        <v>14</v>
      </c>
      <c r="G66" s="85" t="s">
        <v>25</v>
      </c>
      <c r="H66" s="98">
        <v>46283</v>
      </c>
      <c r="I66" s="85">
        <v>475000</v>
      </c>
      <c r="J66" s="96">
        <v>5</v>
      </c>
      <c r="K66" s="106">
        <v>90</v>
      </c>
      <c r="L66" s="94" t="str" cm="1">
        <f t="array" ref="L66">_xlfn.IFS(J66&lt;2,"Fresher",J66&lt;=3,"Mid Level",J66&gt;3,"Experienced")</f>
        <v>Experienced</v>
      </c>
      <c r="M66" s="90" t="str" cm="1">
        <f t="array" ref="M66">_xlfn.IFS(I66&gt;=600000,"High",I66&gt;=450000,"Medium",I66&lt;450000,"Low")</f>
        <v>Medium</v>
      </c>
      <c r="N66" s="94">
        <f t="shared" si="4"/>
        <v>0.02</v>
      </c>
      <c r="O66" s="92" t="str">
        <f t="shared" si="5"/>
        <v>Unique</v>
      </c>
      <c r="P66" s="94">
        <f t="shared" si="6"/>
        <v>9</v>
      </c>
    </row>
    <row r="67" spans="1:16">
      <c r="A67" s="115">
        <v>3101065</v>
      </c>
      <c r="B67" s="85" t="s">
        <v>310</v>
      </c>
      <c r="C67" s="96" t="s">
        <v>260</v>
      </c>
      <c r="D67" s="85" t="s">
        <v>12</v>
      </c>
      <c r="E67" s="96" t="s">
        <v>36</v>
      </c>
      <c r="F67" s="96" t="s">
        <v>24</v>
      </c>
      <c r="G67" s="85" t="s">
        <v>15</v>
      </c>
      <c r="H67" s="98">
        <v>46215</v>
      </c>
      <c r="I67" s="85">
        <v>805000</v>
      </c>
      <c r="J67" s="96">
        <v>4</v>
      </c>
      <c r="K67" s="106">
        <v>74</v>
      </c>
      <c r="L67" s="94" t="str" cm="1">
        <f t="array" ref="L67">_xlfn.IFS(J67&lt;2,"Fresher",J67&lt;=3,"Mid Level",J67&gt;3,"Experienced")</f>
        <v>Experienced</v>
      </c>
      <c r="M67" s="90" t="str" cm="1">
        <f t="array" ref="M67">_xlfn.IFS(I67&gt;=600000,"High",I67&gt;=450000,"Medium",I67&lt;450000,"Low")</f>
        <v>High</v>
      </c>
      <c r="N67" s="94">
        <f t="shared" si="4"/>
        <v>0.02</v>
      </c>
      <c r="O67" s="92" t="str">
        <f t="shared" si="5"/>
        <v>Unique</v>
      </c>
      <c r="P67" s="94">
        <f t="shared" ref="P67:P130" si="7">MONTH(H67)</f>
        <v>7</v>
      </c>
    </row>
    <row r="68" spans="1:16">
      <c r="A68" s="115">
        <v>3101066</v>
      </c>
      <c r="B68" s="85" t="s">
        <v>306</v>
      </c>
      <c r="C68" s="96" t="s">
        <v>260</v>
      </c>
      <c r="D68" s="85" t="s">
        <v>12</v>
      </c>
      <c r="E68" s="96" t="s">
        <v>303</v>
      </c>
      <c r="F68" s="96" t="s">
        <v>24</v>
      </c>
      <c r="G68" s="85" t="s">
        <v>256</v>
      </c>
      <c r="H68" s="98">
        <v>46167</v>
      </c>
      <c r="I68" s="85">
        <v>850000</v>
      </c>
      <c r="J68" s="96">
        <v>1</v>
      </c>
      <c r="K68" s="106">
        <v>85</v>
      </c>
      <c r="L68" s="94" t="str" cm="1">
        <f t="array" ref="L68">_xlfn.IFS(J68&lt;2,"Fresher",J68&lt;=3,"Mid Level",J68&gt;3,"Experienced")</f>
        <v>Fresher</v>
      </c>
      <c r="M68" s="90" t="str" cm="1">
        <f t="array" ref="M68">_xlfn.IFS(I68&gt;=600000,"High",I68&gt;=450000,"Medium",I68&lt;450000,"Low")</f>
        <v>High</v>
      </c>
      <c r="N68" s="94">
        <f t="shared" ref="N68:N131" si="8">IF(F68="Naukri",2%,IF(F68="LinkedIn",2%,IF(F68="Employee Referral",5%,1%)))</f>
        <v>0.02</v>
      </c>
      <c r="O68" s="92" t="str">
        <f t="shared" ref="O68:O131" si="9">IF(COUNTIF($A$2:$A$478,A68)&gt;1,"Duplicate","Unique")</f>
        <v>Unique</v>
      </c>
      <c r="P68" s="94">
        <f t="shared" si="7"/>
        <v>5</v>
      </c>
    </row>
    <row r="69" spans="1:16">
      <c r="A69" s="115">
        <v>3101067</v>
      </c>
      <c r="B69" s="85" t="s">
        <v>274</v>
      </c>
      <c r="C69" s="96" t="s">
        <v>260</v>
      </c>
      <c r="D69" s="85" t="s">
        <v>12</v>
      </c>
      <c r="E69" s="96" t="s">
        <v>303</v>
      </c>
      <c r="F69" s="96" t="s">
        <v>34</v>
      </c>
      <c r="G69" s="85" t="s">
        <v>15</v>
      </c>
      <c r="H69" s="98">
        <v>46147</v>
      </c>
      <c r="I69" s="85">
        <v>655000</v>
      </c>
      <c r="J69" s="96">
        <v>5</v>
      </c>
      <c r="K69" s="106">
        <v>94</v>
      </c>
      <c r="L69" s="94" t="str" cm="1">
        <f t="array" ref="L69">_xlfn.IFS(J69&lt;2,"Fresher",J69&lt;=3,"Mid Level",J69&gt;3,"Experienced")</f>
        <v>Experienced</v>
      </c>
      <c r="M69" s="90" t="str" cm="1">
        <f t="array" ref="M69">_xlfn.IFS(I69&gt;=600000,"High",I69&gt;=450000,"Medium",I69&lt;450000,"Low")</f>
        <v>High</v>
      </c>
      <c r="N69" s="94">
        <f t="shared" si="8"/>
        <v>0.01</v>
      </c>
      <c r="O69" s="92" t="str">
        <f t="shared" si="9"/>
        <v>Unique</v>
      </c>
      <c r="P69" s="94">
        <f t="shared" si="7"/>
        <v>5</v>
      </c>
    </row>
    <row r="70" spans="1:16">
      <c r="A70" s="115">
        <v>3101068</v>
      </c>
      <c r="B70" s="85" t="s">
        <v>304</v>
      </c>
      <c r="C70" s="96" t="s">
        <v>11</v>
      </c>
      <c r="D70" s="85" t="s">
        <v>12</v>
      </c>
      <c r="E70" s="96" t="s">
        <v>265</v>
      </c>
      <c r="F70" s="96" t="s">
        <v>24</v>
      </c>
      <c r="G70" s="85" t="s">
        <v>256</v>
      </c>
      <c r="H70" s="98">
        <v>46247</v>
      </c>
      <c r="I70" s="85">
        <v>630000</v>
      </c>
      <c r="J70" s="96">
        <v>5</v>
      </c>
      <c r="K70" s="106">
        <v>68</v>
      </c>
      <c r="L70" s="94" t="str" cm="1">
        <f t="array" ref="L70">_xlfn.IFS(J70&lt;2,"Fresher",J70&lt;=3,"Mid Level",J70&gt;3,"Experienced")</f>
        <v>Experienced</v>
      </c>
      <c r="M70" s="90" t="str" cm="1">
        <f t="array" ref="M70">_xlfn.IFS(I70&gt;=600000,"High",I70&gt;=450000,"Medium",I70&lt;450000,"Low")</f>
        <v>High</v>
      </c>
      <c r="N70" s="94">
        <f t="shared" si="8"/>
        <v>0.02</v>
      </c>
      <c r="O70" s="92" t="str">
        <f t="shared" si="9"/>
        <v>Unique</v>
      </c>
      <c r="P70" s="94">
        <f t="shared" si="7"/>
        <v>8</v>
      </c>
    </row>
    <row r="71" spans="1:16">
      <c r="A71" s="115">
        <v>3101069</v>
      </c>
      <c r="B71" s="85" t="s">
        <v>272</v>
      </c>
      <c r="C71" s="96" t="s">
        <v>260</v>
      </c>
      <c r="D71" s="85" t="s">
        <v>12</v>
      </c>
      <c r="E71" s="96" t="s">
        <v>303</v>
      </c>
      <c r="F71" s="96" t="s">
        <v>24</v>
      </c>
      <c r="G71" s="85" t="s">
        <v>21</v>
      </c>
      <c r="H71" s="98">
        <v>46262</v>
      </c>
      <c r="I71" s="85">
        <v>790000</v>
      </c>
      <c r="J71" s="96">
        <v>5</v>
      </c>
      <c r="K71" s="106">
        <v>87</v>
      </c>
      <c r="L71" s="94" t="str" cm="1">
        <f t="array" ref="L71">_xlfn.IFS(J71&lt;2,"Fresher",J71&lt;=3,"Mid Level",J71&gt;3,"Experienced")</f>
        <v>Experienced</v>
      </c>
      <c r="M71" s="90" t="str" cm="1">
        <f t="array" ref="M71">_xlfn.IFS(I71&gt;=600000,"High",I71&gt;=450000,"Medium",I71&lt;450000,"Low")</f>
        <v>High</v>
      </c>
      <c r="N71" s="94">
        <f t="shared" si="8"/>
        <v>0.02</v>
      </c>
      <c r="O71" s="92" t="str">
        <f t="shared" si="9"/>
        <v>Unique</v>
      </c>
      <c r="P71" s="94">
        <f t="shared" si="7"/>
        <v>8</v>
      </c>
    </row>
    <row r="72" spans="1:16">
      <c r="A72" s="115">
        <v>3101070</v>
      </c>
      <c r="B72" s="85" t="s">
        <v>304</v>
      </c>
      <c r="C72" s="96" t="s">
        <v>260</v>
      </c>
      <c r="D72" s="85" t="s">
        <v>12</v>
      </c>
      <c r="E72" s="96" t="s">
        <v>265</v>
      </c>
      <c r="F72" s="96" t="s">
        <v>24</v>
      </c>
      <c r="G72" s="85" t="s">
        <v>25</v>
      </c>
      <c r="H72" s="98">
        <v>46184</v>
      </c>
      <c r="I72" s="85">
        <v>400000</v>
      </c>
      <c r="J72" s="96">
        <v>3</v>
      </c>
      <c r="K72" s="106">
        <v>81.403265306122407</v>
      </c>
      <c r="L72" s="94" t="str" cm="1">
        <f t="array" ref="L72">_xlfn.IFS(J72&lt;2,"Fresher",J72&lt;=3,"Mid Level",J72&gt;3,"Experienced")</f>
        <v>Mid Level</v>
      </c>
      <c r="M72" s="90" t="str" cm="1">
        <f t="array" ref="M72">_xlfn.IFS(I72&gt;=600000,"High",I72&gt;=450000,"Medium",I72&lt;450000,"Low")</f>
        <v>Low</v>
      </c>
      <c r="N72" s="94">
        <f t="shared" si="8"/>
        <v>0.02</v>
      </c>
      <c r="O72" s="92" t="str">
        <f t="shared" si="9"/>
        <v>Unique</v>
      </c>
      <c r="P72" s="94">
        <f t="shared" si="7"/>
        <v>6</v>
      </c>
    </row>
    <row r="73" spans="1:16">
      <c r="A73" s="115">
        <v>3101071</v>
      </c>
      <c r="B73" s="85" t="s">
        <v>288</v>
      </c>
      <c r="C73" s="96" t="s">
        <v>258</v>
      </c>
      <c r="D73" s="85" t="s">
        <v>12</v>
      </c>
      <c r="E73" s="96" t="s">
        <v>13</v>
      </c>
      <c r="F73" s="96" t="s">
        <v>24</v>
      </c>
      <c r="G73" s="85" t="s">
        <v>15</v>
      </c>
      <c r="H73" s="98">
        <v>46240</v>
      </c>
      <c r="I73" s="85">
        <v>610000</v>
      </c>
      <c r="J73" s="96">
        <v>4</v>
      </c>
      <c r="K73" s="106">
        <v>79</v>
      </c>
      <c r="L73" s="94" t="str" cm="1">
        <f t="array" ref="L73">_xlfn.IFS(J73&lt;2,"Fresher",J73&lt;=3,"Mid Level",J73&gt;3,"Experienced")</f>
        <v>Experienced</v>
      </c>
      <c r="M73" s="90" t="str" cm="1">
        <f t="array" ref="M73">_xlfn.IFS(I73&gt;=600000,"High",I73&gt;=450000,"Medium",I73&lt;450000,"Low")</f>
        <v>High</v>
      </c>
      <c r="N73" s="94">
        <f t="shared" si="8"/>
        <v>0.02</v>
      </c>
      <c r="O73" s="92" t="str">
        <f t="shared" si="9"/>
        <v>Unique</v>
      </c>
      <c r="P73" s="94">
        <f t="shared" si="7"/>
        <v>8</v>
      </c>
    </row>
    <row r="74" spans="1:16">
      <c r="A74" s="115">
        <v>3101072</v>
      </c>
      <c r="B74" s="85" t="s">
        <v>287</v>
      </c>
      <c r="C74" s="96" t="s">
        <v>27</v>
      </c>
      <c r="D74" s="85" t="s">
        <v>32</v>
      </c>
      <c r="E74" s="96" t="s">
        <v>300</v>
      </c>
      <c r="F74" s="96" t="s">
        <v>14</v>
      </c>
      <c r="G74" s="85" t="s">
        <v>256</v>
      </c>
      <c r="H74" s="98">
        <v>46149</v>
      </c>
      <c r="I74" s="85">
        <v>310000</v>
      </c>
      <c r="J74" s="96">
        <v>4</v>
      </c>
      <c r="K74" s="106">
        <v>71</v>
      </c>
      <c r="L74" s="94" t="str" cm="1">
        <f t="array" ref="L74">_xlfn.IFS(J74&lt;2,"Fresher",J74&lt;=3,"Mid Level",J74&gt;3,"Experienced")</f>
        <v>Experienced</v>
      </c>
      <c r="M74" s="90" t="str" cm="1">
        <f t="array" ref="M74">_xlfn.IFS(I74&gt;=600000,"High",I74&gt;=450000,"Medium",I74&lt;450000,"Low")</f>
        <v>Low</v>
      </c>
      <c r="N74" s="94">
        <f t="shared" si="8"/>
        <v>0.02</v>
      </c>
      <c r="O74" s="92" t="str">
        <f t="shared" si="9"/>
        <v>Unique</v>
      </c>
      <c r="P74" s="94">
        <f t="shared" si="7"/>
        <v>5</v>
      </c>
    </row>
    <row r="75" spans="1:16">
      <c r="A75" s="115">
        <v>3101073</v>
      </c>
      <c r="B75" s="85" t="s">
        <v>283</v>
      </c>
      <c r="C75" s="96" t="s">
        <v>11</v>
      </c>
      <c r="D75" s="85" t="s">
        <v>28</v>
      </c>
      <c r="E75" s="96" t="s">
        <v>29</v>
      </c>
      <c r="F75" s="96" t="s">
        <v>20</v>
      </c>
      <c r="G75" s="85" t="s">
        <v>21</v>
      </c>
      <c r="H75" s="98">
        <v>46277</v>
      </c>
      <c r="I75" s="85">
        <v>350000</v>
      </c>
      <c r="J75" s="96">
        <v>5</v>
      </c>
      <c r="K75" s="106">
        <v>89</v>
      </c>
      <c r="L75" s="94" t="str" cm="1">
        <f t="array" ref="L75">_xlfn.IFS(J75&lt;2,"Fresher",J75&lt;=3,"Mid Level",J75&gt;3,"Experienced")</f>
        <v>Experienced</v>
      </c>
      <c r="M75" s="90" t="str" cm="1">
        <f t="array" ref="M75">_xlfn.IFS(I75&gt;=600000,"High",I75&gt;=450000,"Medium",I75&lt;450000,"Low")</f>
        <v>Low</v>
      </c>
      <c r="N75" s="94">
        <f t="shared" si="8"/>
        <v>0.05</v>
      </c>
      <c r="O75" s="92" t="str">
        <f t="shared" si="9"/>
        <v>Unique</v>
      </c>
      <c r="P75" s="94">
        <f t="shared" si="7"/>
        <v>9</v>
      </c>
    </row>
    <row r="76" spans="1:16">
      <c r="A76" s="115">
        <v>3101074</v>
      </c>
      <c r="B76" s="85" t="s">
        <v>278</v>
      </c>
      <c r="C76" s="96" t="s">
        <v>17</v>
      </c>
      <c r="D76" s="85" t="s">
        <v>12</v>
      </c>
      <c r="E76" s="96" t="s">
        <v>36</v>
      </c>
      <c r="F76" s="96" t="s">
        <v>20</v>
      </c>
      <c r="G76" s="85" t="s">
        <v>21</v>
      </c>
      <c r="H76" s="98">
        <v>46211</v>
      </c>
      <c r="I76" s="85">
        <v>525000</v>
      </c>
      <c r="J76" s="96">
        <v>2</v>
      </c>
      <c r="K76" s="106">
        <v>67</v>
      </c>
      <c r="L76" s="94" t="str" cm="1">
        <f t="array" ref="L76">_xlfn.IFS(J76&lt;2,"Fresher",J76&lt;=3,"Mid Level",J76&gt;3,"Experienced")</f>
        <v>Mid Level</v>
      </c>
      <c r="M76" s="90" t="str" cm="1">
        <f t="array" ref="M76">_xlfn.IFS(I76&gt;=600000,"High",I76&gt;=450000,"Medium",I76&lt;450000,"Low")</f>
        <v>Medium</v>
      </c>
      <c r="N76" s="94">
        <f t="shared" si="8"/>
        <v>0.05</v>
      </c>
      <c r="O76" s="92" t="str">
        <f t="shared" si="9"/>
        <v>Unique</v>
      </c>
      <c r="P76" s="94">
        <f t="shared" si="7"/>
        <v>7</v>
      </c>
    </row>
    <row r="77" spans="1:16">
      <c r="A77" s="115">
        <v>3101075</v>
      </c>
      <c r="B77" s="85" t="s">
        <v>289</v>
      </c>
      <c r="C77" s="96" t="s">
        <v>27</v>
      </c>
      <c r="D77" s="85" t="s">
        <v>12</v>
      </c>
      <c r="E77" s="96" t="s">
        <v>261</v>
      </c>
      <c r="F77" s="96" t="s">
        <v>34</v>
      </c>
      <c r="G77" s="85" t="s">
        <v>25</v>
      </c>
      <c r="H77" s="98">
        <v>46236</v>
      </c>
      <c r="I77" s="85">
        <v>540000</v>
      </c>
      <c r="J77" s="96">
        <v>1</v>
      </c>
      <c r="K77" s="106">
        <v>86</v>
      </c>
      <c r="L77" s="94" t="str" cm="1">
        <f t="array" ref="L77">_xlfn.IFS(J77&lt;2,"Fresher",J77&lt;=3,"Mid Level",J77&gt;3,"Experienced")</f>
        <v>Fresher</v>
      </c>
      <c r="M77" s="90" t="str" cm="1">
        <f t="array" ref="M77">_xlfn.IFS(I77&gt;=600000,"High",I77&gt;=450000,"Medium",I77&lt;450000,"Low")</f>
        <v>Medium</v>
      </c>
      <c r="N77" s="94">
        <f t="shared" si="8"/>
        <v>0.01</v>
      </c>
      <c r="O77" s="92" t="str">
        <f t="shared" si="9"/>
        <v>Unique</v>
      </c>
      <c r="P77" s="94">
        <f t="shared" si="7"/>
        <v>8</v>
      </c>
    </row>
    <row r="78" spans="1:16">
      <c r="A78" s="115">
        <v>3101076</v>
      </c>
      <c r="B78" s="85" t="s">
        <v>289</v>
      </c>
      <c r="C78" s="96" t="s">
        <v>11</v>
      </c>
      <c r="D78" s="85" t="s">
        <v>18</v>
      </c>
      <c r="E78" s="96" t="s">
        <v>39</v>
      </c>
      <c r="F78" s="96" t="s">
        <v>20</v>
      </c>
      <c r="G78" s="85" t="s">
        <v>256</v>
      </c>
      <c r="H78" s="98">
        <v>46236</v>
      </c>
      <c r="I78" s="85">
        <v>370000</v>
      </c>
      <c r="J78" s="96">
        <v>4</v>
      </c>
      <c r="K78" s="106">
        <v>92</v>
      </c>
      <c r="L78" s="94" t="str" cm="1">
        <f t="array" ref="L78">_xlfn.IFS(J78&lt;2,"Fresher",J78&lt;=3,"Mid Level",J78&gt;3,"Experienced")</f>
        <v>Experienced</v>
      </c>
      <c r="M78" s="90" t="str" cm="1">
        <f t="array" ref="M78">_xlfn.IFS(I78&gt;=600000,"High",I78&gt;=450000,"Medium",I78&lt;450000,"Low")</f>
        <v>Low</v>
      </c>
      <c r="N78" s="94">
        <f t="shared" si="8"/>
        <v>0.05</v>
      </c>
      <c r="O78" s="92" t="str">
        <f t="shared" si="9"/>
        <v>Unique</v>
      </c>
      <c r="P78" s="94">
        <f t="shared" si="7"/>
        <v>8</v>
      </c>
    </row>
    <row r="79" spans="1:16">
      <c r="A79" s="115">
        <v>3101077</v>
      </c>
      <c r="B79" s="85" t="s">
        <v>277</v>
      </c>
      <c r="C79" s="96" t="s">
        <v>27</v>
      </c>
      <c r="D79" s="85" t="s">
        <v>12</v>
      </c>
      <c r="E79" s="96" t="s">
        <v>303</v>
      </c>
      <c r="F79" s="96" t="s">
        <v>24</v>
      </c>
      <c r="G79" s="85" t="s">
        <v>15</v>
      </c>
      <c r="H79" s="98">
        <v>46174</v>
      </c>
      <c r="I79" s="85">
        <v>500000</v>
      </c>
      <c r="J79" s="96">
        <v>4</v>
      </c>
      <c r="K79" s="106">
        <v>69</v>
      </c>
      <c r="L79" s="94" t="str" cm="1">
        <f t="array" ref="L79">_xlfn.IFS(J79&lt;2,"Fresher",J79&lt;=3,"Mid Level",J79&gt;3,"Experienced")</f>
        <v>Experienced</v>
      </c>
      <c r="M79" s="90" t="str" cm="1">
        <f t="array" ref="M79">_xlfn.IFS(I79&gt;=600000,"High",I79&gt;=450000,"Medium",I79&lt;450000,"Low")</f>
        <v>Medium</v>
      </c>
      <c r="N79" s="94">
        <f t="shared" si="8"/>
        <v>0.02</v>
      </c>
      <c r="O79" s="92" t="str">
        <f t="shared" si="9"/>
        <v>Unique</v>
      </c>
      <c r="P79" s="94">
        <f t="shared" si="7"/>
        <v>6</v>
      </c>
    </row>
    <row r="80" spans="1:16">
      <c r="A80" s="115">
        <v>3101078</v>
      </c>
      <c r="B80" s="85" t="s">
        <v>253</v>
      </c>
      <c r="C80" s="96" t="s">
        <v>17</v>
      </c>
      <c r="D80" s="85" t="s">
        <v>12</v>
      </c>
      <c r="E80" s="96" t="s">
        <v>303</v>
      </c>
      <c r="F80" s="96" t="s">
        <v>34</v>
      </c>
      <c r="G80" s="85" t="s">
        <v>15</v>
      </c>
      <c r="H80" s="98">
        <v>46184</v>
      </c>
      <c r="I80" s="85">
        <v>890000</v>
      </c>
      <c r="J80" s="96">
        <v>4</v>
      </c>
      <c r="K80" s="106">
        <v>81</v>
      </c>
      <c r="L80" s="94" t="str" cm="1">
        <f t="array" ref="L80">_xlfn.IFS(J80&lt;2,"Fresher",J80&lt;=3,"Mid Level",J80&gt;3,"Experienced")</f>
        <v>Experienced</v>
      </c>
      <c r="M80" s="90" t="str" cm="1">
        <f t="array" ref="M80">_xlfn.IFS(I80&gt;=600000,"High",I80&gt;=450000,"Medium",I80&lt;450000,"Low")</f>
        <v>High</v>
      </c>
      <c r="N80" s="94">
        <f t="shared" si="8"/>
        <v>0.01</v>
      </c>
      <c r="O80" s="92" t="str">
        <f t="shared" si="9"/>
        <v>Unique</v>
      </c>
      <c r="P80" s="94">
        <f t="shared" si="7"/>
        <v>6</v>
      </c>
    </row>
    <row r="81" spans="1:16">
      <c r="A81" s="115">
        <v>3101079</v>
      </c>
      <c r="B81" s="85" t="s">
        <v>293</v>
      </c>
      <c r="C81" s="96" t="s">
        <v>27</v>
      </c>
      <c r="D81" s="85" t="s">
        <v>12</v>
      </c>
      <c r="E81" s="96" t="s">
        <v>23</v>
      </c>
      <c r="F81" s="96" t="s">
        <v>34</v>
      </c>
      <c r="G81" s="85" t="s">
        <v>21</v>
      </c>
      <c r="H81" s="98">
        <v>46163</v>
      </c>
      <c r="I81" s="85">
        <v>585000</v>
      </c>
      <c r="J81" s="96">
        <v>3</v>
      </c>
      <c r="K81" s="106">
        <v>94</v>
      </c>
      <c r="L81" s="94" t="str" cm="1">
        <f t="array" ref="L81">_xlfn.IFS(J81&lt;2,"Fresher",J81&lt;=3,"Mid Level",J81&gt;3,"Experienced")</f>
        <v>Mid Level</v>
      </c>
      <c r="M81" s="90" t="str" cm="1">
        <f t="array" ref="M81">_xlfn.IFS(I81&gt;=600000,"High",I81&gt;=450000,"Medium",I81&lt;450000,"Low")</f>
        <v>Medium</v>
      </c>
      <c r="N81" s="94">
        <f t="shared" si="8"/>
        <v>0.01</v>
      </c>
      <c r="O81" s="92" t="str">
        <f t="shared" si="9"/>
        <v>Unique</v>
      </c>
      <c r="P81" s="94">
        <f t="shared" si="7"/>
        <v>5</v>
      </c>
    </row>
    <row r="82" spans="1:16">
      <c r="A82" s="115">
        <v>3101080</v>
      </c>
      <c r="B82" s="85" t="s">
        <v>267</v>
      </c>
      <c r="C82" s="96" t="s">
        <v>17</v>
      </c>
      <c r="D82" s="85" t="s">
        <v>12</v>
      </c>
      <c r="E82" s="96" t="s">
        <v>303</v>
      </c>
      <c r="F82" s="96" t="s">
        <v>20</v>
      </c>
      <c r="G82" s="85" t="s">
        <v>256</v>
      </c>
      <c r="H82" s="98">
        <v>46175</v>
      </c>
      <c r="I82" s="85">
        <v>830000</v>
      </c>
      <c r="J82" s="96">
        <v>4</v>
      </c>
      <c r="K82" s="106">
        <v>77</v>
      </c>
      <c r="L82" s="94" t="str" cm="1">
        <f t="array" ref="L82">_xlfn.IFS(J82&lt;2,"Fresher",J82&lt;=3,"Mid Level",J82&gt;3,"Experienced")</f>
        <v>Experienced</v>
      </c>
      <c r="M82" s="90" t="str" cm="1">
        <f t="array" ref="M82">_xlfn.IFS(I82&gt;=600000,"High",I82&gt;=450000,"Medium",I82&lt;450000,"Low")</f>
        <v>High</v>
      </c>
      <c r="N82" s="94">
        <f t="shared" si="8"/>
        <v>0.05</v>
      </c>
      <c r="O82" s="92" t="str">
        <f t="shared" si="9"/>
        <v>Unique</v>
      </c>
      <c r="P82" s="94">
        <f t="shared" si="7"/>
        <v>6</v>
      </c>
    </row>
    <row r="83" spans="1:16">
      <c r="A83" s="115">
        <v>3101081</v>
      </c>
      <c r="B83" s="85" t="s">
        <v>293</v>
      </c>
      <c r="C83" s="96" t="s">
        <v>264</v>
      </c>
      <c r="D83" s="85" t="s">
        <v>32</v>
      </c>
      <c r="E83" s="96" t="s">
        <v>33</v>
      </c>
      <c r="F83" s="96" t="s">
        <v>20</v>
      </c>
      <c r="G83" s="85" t="s">
        <v>256</v>
      </c>
      <c r="H83" s="98">
        <v>46233</v>
      </c>
      <c r="I83" s="85">
        <v>300000</v>
      </c>
      <c r="J83" s="96">
        <v>0</v>
      </c>
      <c r="K83" s="106">
        <v>72</v>
      </c>
      <c r="L83" s="94" t="str" cm="1">
        <f t="array" ref="L83">_xlfn.IFS(J83&lt;2,"Fresher",J83&lt;=3,"Mid Level",J83&gt;3,"Experienced")</f>
        <v>Fresher</v>
      </c>
      <c r="M83" s="90" t="str" cm="1">
        <f t="array" ref="M83">_xlfn.IFS(I83&gt;=600000,"High",I83&gt;=450000,"Medium",I83&lt;450000,"Low")</f>
        <v>Low</v>
      </c>
      <c r="N83" s="94">
        <f t="shared" si="8"/>
        <v>0.05</v>
      </c>
      <c r="O83" s="92" t="str">
        <f t="shared" si="9"/>
        <v>Unique</v>
      </c>
      <c r="P83" s="94">
        <f t="shared" si="7"/>
        <v>7</v>
      </c>
    </row>
    <row r="84" spans="1:16">
      <c r="A84" s="115">
        <v>3101082</v>
      </c>
      <c r="B84" s="85" t="s">
        <v>281</v>
      </c>
      <c r="C84" s="96" t="s">
        <v>268</v>
      </c>
      <c r="D84" s="85" t="s">
        <v>12</v>
      </c>
      <c r="E84" s="96" t="s">
        <v>261</v>
      </c>
      <c r="F84" s="96" t="s">
        <v>34</v>
      </c>
      <c r="G84" s="85" t="s">
        <v>25</v>
      </c>
      <c r="H84" s="98">
        <v>46202</v>
      </c>
      <c r="I84" s="85">
        <v>520000</v>
      </c>
      <c r="J84" s="96">
        <v>1</v>
      </c>
      <c r="K84" s="106">
        <v>90</v>
      </c>
      <c r="L84" s="94" t="str" cm="1">
        <f t="array" ref="L84">_xlfn.IFS(J84&lt;2,"Fresher",J84&lt;=3,"Mid Level",J84&gt;3,"Experienced")</f>
        <v>Fresher</v>
      </c>
      <c r="M84" s="90" t="str" cm="1">
        <f t="array" ref="M84">_xlfn.IFS(I84&gt;=600000,"High",I84&gt;=450000,"Medium",I84&lt;450000,"Low")</f>
        <v>Medium</v>
      </c>
      <c r="N84" s="94">
        <f t="shared" si="8"/>
        <v>0.01</v>
      </c>
      <c r="O84" s="92" t="str">
        <f t="shared" si="9"/>
        <v>Unique</v>
      </c>
      <c r="P84" s="94">
        <f t="shared" si="7"/>
        <v>6</v>
      </c>
    </row>
    <row r="85" spans="1:16">
      <c r="A85" s="115">
        <v>3101083</v>
      </c>
      <c r="B85" s="85" t="s">
        <v>311</v>
      </c>
      <c r="C85" s="96" t="s">
        <v>264</v>
      </c>
      <c r="D85" s="85" t="s">
        <v>12</v>
      </c>
      <c r="E85" s="96" t="s">
        <v>303</v>
      </c>
      <c r="F85" s="96" t="s">
        <v>20</v>
      </c>
      <c r="G85" s="85" t="s">
        <v>21</v>
      </c>
      <c r="H85" s="98">
        <v>46190</v>
      </c>
      <c r="I85" s="85">
        <v>795000</v>
      </c>
      <c r="J85" s="96">
        <v>1</v>
      </c>
      <c r="K85" s="106">
        <v>74</v>
      </c>
      <c r="L85" s="94" t="str" cm="1">
        <f t="array" ref="L85">_xlfn.IFS(J85&lt;2,"Fresher",J85&lt;=3,"Mid Level",J85&gt;3,"Experienced")</f>
        <v>Fresher</v>
      </c>
      <c r="M85" s="90" t="str" cm="1">
        <f t="array" ref="M85">_xlfn.IFS(I85&gt;=600000,"High",I85&gt;=450000,"Medium",I85&lt;450000,"Low")</f>
        <v>High</v>
      </c>
      <c r="N85" s="94">
        <f t="shared" si="8"/>
        <v>0.05</v>
      </c>
      <c r="O85" s="92" t="str">
        <f t="shared" si="9"/>
        <v>Unique</v>
      </c>
      <c r="P85" s="94">
        <f t="shared" si="7"/>
        <v>6</v>
      </c>
    </row>
    <row r="86" spans="1:16">
      <c r="A86" s="115">
        <v>3101084</v>
      </c>
      <c r="B86" s="85" t="s">
        <v>47</v>
      </c>
      <c r="C86" s="96" t="s">
        <v>264</v>
      </c>
      <c r="D86" s="85" t="s">
        <v>12</v>
      </c>
      <c r="E86" s="96" t="s">
        <v>303</v>
      </c>
      <c r="F86" s="96" t="s">
        <v>20</v>
      </c>
      <c r="G86" s="85" t="s">
        <v>256</v>
      </c>
      <c r="H86" s="98">
        <v>46242</v>
      </c>
      <c r="I86" s="85">
        <v>595000</v>
      </c>
      <c r="J86" s="96">
        <v>1</v>
      </c>
      <c r="K86" s="106">
        <v>85</v>
      </c>
      <c r="L86" s="94" t="str" cm="1">
        <f t="array" ref="L86">_xlfn.IFS(J86&lt;2,"Fresher",J86&lt;=3,"Mid Level",J86&gt;3,"Experienced")</f>
        <v>Fresher</v>
      </c>
      <c r="M86" s="90" t="str" cm="1">
        <f t="array" ref="M86">_xlfn.IFS(I86&gt;=600000,"High",I86&gt;=450000,"Medium",I86&lt;450000,"Low")</f>
        <v>Medium</v>
      </c>
      <c r="N86" s="94">
        <f t="shared" si="8"/>
        <v>0.05</v>
      </c>
      <c r="O86" s="92" t="str">
        <f t="shared" si="9"/>
        <v>Unique</v>
      </c>
      <c r="P86" s="94">
        <f t="shared" si="7"/>
        <v>8</v>
      </c>
    </row>
    <row r="87" spans="1:16">
      <c r="A87" s="115">
        <v>3101085</v>
      </c>
      <c r="B87" s="85" t="s">
        <v>302</v>
      </c>
      <c r="C87" s="96" t="s">
        <v>27</v>
      </c>
      <c r="D87" s="85" t="s">
        <v>28</v>
      </c>
      <c r="E87" s="96" t="s">
        <v>29</v>
      </c>
      <c r="F87" s="96" t="s">
        <v>34</v>
      </c>
      <c r="G87" s="85" t="s">
        <v>21</v>
      </c>
      <c r="H87" s="98">
        <v>46175</v>
      </c>
      <c r="I87" s="85">
        <v>385000</v>
      </c>
      <c r="J87" s="96">
        <v>2</v>
      </c>
      <c r="K87" s="106">
        <v>94</v>
      </c>
      <c r="L87" s="94" t="str" cm="1">
        <f t="array" ref="L87">_xlfn.IFS(J87&lt;2,"Fresher",J87&lt;=3,"Mid Level",J87&gt;3,"Experienced")</f>
        <v>Mid Level</v>
      </c>
      <c r="M87" s="90" t="str" cm="1">
        <f t="array" ref="M87">_xlfn.IFS(I87&gt;=600000,"High",I87&gt;=450000,"Medium",I87&lt;450000,"Low")</f>
        <v>Low</v>
      </c>
      <c r="N87" s="94">
        <f t="shared" si="8"/>
        <v>0.01</v>
      </c>
      <c r="O87" s="92" t="str">
        <f t="shared" si="9"/>
        <v>Unique</v>
      </c>
      <c r="P87" s="94">
        <f t="shared" si="7"/>
        <v>6</v>
      </c>
    </row>
    <row r="88" spans="1:16">
      <c r="A88" s="115">
        <v>3101086</v>
      </c>
      <c r="B88" s="85" t="s">
        <v>302</v>
      </c>
      <c r="C88" s="96" t="s">
        <v>260</v>
      </c>
      <c r="D88" s="85" t="s">
        <v>12</v>
      </c>
      <c r="E88" s="96" t="s">
        <v>36</v>
      </c>
      <c r="F88" s="96" t="s">
        <v>34</v>
      </c>
      <c r="G88" s="85" t="s">
        <v>15</v>
      </c>
      <c r="H88" s="98">
        <v>46181</v>
      </c>
      <c r="I88" s="85">
        <v>575000</v>
      </c>
      <c r="J88" s="96">
        <v>4</v>
      </c>
      <c r="K88" s="106">
        <v>68</v>
      </c>
      <c r="L88" s="94" t="str" cm="1">
        <f t="array" ref="L88">_xlfn.IFS(J88&lt;2,"Fresher",J88&lt;=3,"Mid Level",J88&gt;3,"Experienced")</f>
        <v>Experienced</v>
      </c>
      <c r="M88" s="90" t="str" cm="1">
        <f t="array" ref="M88">_xlfn.IFS(I88&gt;=600000,"High",I88&gt;=450000,"Medium",I88&lt;450000,"Low")</f>
        <v>Medium</v>
      </c>
      <c r="N88" s="94">
        <f t="shared" si="8"/>
        <v>0.01</v>
      </c>
      <c r="O88" s="92" t="str">
        <f t="shared" si="9"/>
        <v>Unique</v>
      </c>
      <c r="P88" s="94">
        <f t="shared" si="7"/>
        <v>6</v>
      </c>
    </row>
    <row r="89" spans="1:16">
      <c r="A89" s="115">
        <v>3101087</v>
      </c>
      <c r="B89" s="85" t="s">
        <v>269</v>
      </c>
      <c r="C89" s="96" t="s">
        <v>260</v>
      </c>
      <c r="D89" s="85" t="s">
        <v>18</v>
      </c>
      <c r="E89" s="96" t="s">
        <v>39</v>
      </c>
      <c r="F89" s="96" t="s">
        <v>20</v>
      </c>
      <c r="G89" s="85" t="s">
        <v>25</v>
      </c>
      <c r="H89" s="98">
        <v>46247</v>
      </c>
      <c r="I89" s="85">
        <v>495000</v>
      </c>
      <c r="J89" s="96">
        <v>0</v>
      </c>
      <c r="K89" s="106">
        <v>87</v>
      </c>
      <c r="L89" s="94" t="str" cm="1">
        <f t="array" ref="L89">_xlfn.IFS(J89&lt;2,"Fresher",J89&lt;=3,"Mid Level",J89&gt;3,"Experienced")</f>
        <v>Fresher</v>
      </c>
      <c r="M89" s="90" t="str" cm="1">
        <f t="array" ref="M89">_xlfn.IFS(I89&gt;=600000,"High",I89&gt;=450000,"Medium",I89&lt;450000,"Low")</f>
        <v>Medium</v>
      </c>
      <c r="N89" s="94">
        <f t="shared" si="8"/>
        <v>0.05</v>
      </c>
      <c r="O89" s="92" t="str">
        <f t="shared" si="9"/>
        <v>Unique</v>
      </c>
      <c r="P89" s="94">
        <f t="shared" si="7"/>
        <v>8</v>
      </c>
    </row>
    <row r="90" spans="1:16">
      <c r="A90" s="115">
        <v>3101088</v>
      </c>
      <c r="B90" s="85" t="s">
        <v>270</v>
      </c>
      <c r="C90" s="96" t="s">
        <v>258</v>
      </c>
      <c r="D90" s="85" t="s">
        <v>12</v>
      </c>
      <c r="E90" s="96" t="s">
        <v>303</v>
      </c>
      <c r="F90" s="96" t="s">
        <v>14</v>
      </c>
      <c r="G90" s="85" t="s">
        <v>25</v>
      </c>
      <c r="H90" s="98">
        <v>46271</v>
      </c>
      <c r="I90" s="85">
        <v>845000</v>
      </c>
      <c r="J90" s="96">
        <v>5</v>
      </c>
      <c r="K90" s="106">
        <v>81.403265306122407</v>
      </c>
      <c r="L90" s="94" t="str" cm="1">
        <f t="array" ref="L90">_xlfn.IFS(J90&lt;2,"Fresher",J90&lt;=3,"Mid Level",J90&gt;3,"Experienced")</f>
        <v>Experienced</v>
      </c>
      <c r="M90" s="90" t="str" cm="1">
        <f t="array" ref="M90">_xlfn.IFS(I90&gt;=600000,"High",I90&gt;=450000,"Medium",I90&lt;450000,"Low")</f>
        <v>High</v>
      </c>
      <c r="N90" s="94">
        <f t="shared" si="8"/>
        <v>0.02</v>
      </c>
      <c r="O90" s="92" t="str">
        <f t="shared" si="9"/>
        <v>Unique</v>
      </c>
      <c r="P90" s="94">
        <f t="shared" si="7"/>
        <v>9</v>
      </c>
    </row>
    <row r="91" spans="1:16">
      <c r="A91" s="115">
        <v>3101089</v>
      </c>
      <c r="B91" s="85" t="s">
        <v>174</v>
      </c>
      <c r="C91" s="96" t="s">
        <v>258</v>
      </c>
      <c r="D91" s="85" t="s">
        <v>12</v>
      </c>
      <c r="E91" s="96" t="s">
        <v>303</v>
      </c>
      <c r="F91" s="96" t="s">
        <v>34</v>
      </c>
      <c r="G91" s="85" t="s">
        <v>15</v>
      </c>
      <c r="H91" s="98">
        <v>46247</v>
      </c>
      <c r="I91" s="85">
        <v>610000</v>
      </c>
      <c r="J91" s="96">
        <v>5</v>
      </c>
      <c r="K91" s="106">
        <v>88</v>
      </c>
      <c r="L91" s="94" t="str" cm="1">
        <f t="array" ref="L91">_xlfn.IFS(J91&lt;2,"Fresher",J91&lt;=3,"Mid Level",J91&gt;3,"Experienced")</f>
        <v>Experienced</v>
      </c>
      <c r="M91" s="90" t="str" cm="1">
        <f t="array" ref="M91">_xlfn.IFS(I91&gt;=600000,"High",I91&gt;=450000,"Medium",I91&lt;450000,"Low")</f>
        <v>High</v>
      </c>
      <c r="N91" s="94">
        <f t="shared" si="8"/>
        <v>0.01</v>
      </c>
      <c r="O91" s="92" t="str">
        <f t="shared" si="9"/>
        <v>Unique</v>
      </c>
      <c r="P91" s="94">
        <f t="shared" si="7"/>
        <v>8</v>
      </c>
    </row>
    <row r="92" spans="1:16">
      <c r="A92" s="115">
        <v>3101090</v>
      </c>
      <c r="B92" s="85" t="s">
        <v>273</v>
      </c>
      <c r="C92" s="96" t="s">
        <v>260</v>
      </c>
      <c r="D92" s="85" t="s">
        <v>18</v>
      </c>
      <c r="E92" s="96" t="s">
        <v>19</v>
      </c>
      <c r="F92" s="96" t="s">
        <v>34</v>
      </c>
      <c r="G92" s="85" t="s">
        <v>15</v>
      </c>
      <c r="H92" s="98">
        <v>46293</v>
      </c>
      <c r="I92" s="85">
        <v>495000</v>
      </c>
      <c r="J92" s="96">
        <v>5</v>
      </c>
      <c r="K92" s="106">
        <v>91</v>
      </c>
      <c r="L92" s="94" t="str" cm="1">
        <f t="array" ref="L92">_xlfn.IFS(J92&lt;2,"Fresher",J92&lt;=3,"Mid Level",J92&gt;3,"Experienced")</f>
        <v>Experienced</v>
      </c>
      <c r="M92" s="90" t="str" cm="1">
        <f t="array" ref="M92">_xlfn.IFS(I92&gt;=600000,"High",I92&gt;=450000,"Medium",I92&lt;450000,"Low")</f>
        <v>Medium</v>
      </c>
      <c r="N92" s="94">
        <f t="shared" si="8"/>
        <v>0.01</v>
      </c>
      <c r="O92" s="92" t="str">
        <f t="shared" si="9"/>
        <v>Unique</v>
      </c>
      <c r="P92" s="94">
        <f t="shared" si="7"/>
        <v>9</v>
      </c>
    </row>
    <row r="93" spans="1:16">
      <c r="A93" s="115">
        <v>3101091</v>
      </c>
      <c r="B93" s="85" t="s">
        <v>306</v>
      </c>
      <c r="C93" s="96" t="s">
        <v>268</v>
      </c>
      <c r="D93" s="85" t="s">
        <v>28</v>
      </c>
      <c r="E93" s="96" t="s">
        <v>297</v>
      </c>
      <c r="F93" s="96" t="s">
        <v>34</v>
      </c>
      <c r="G93" s="85" t="s">
        <v>15</v>
      </c>
      <c r="H93" s="98">
        <v>46201</v>
      </c>
      <c r="I93" s="85">
        <v>415000</v>
      </c>
      <c r="J93" s="96">
        <v>5</v>
      </c>
      <c r="K93" s="106">
        <v>69</v>
      </c>
      <c r="L93" s="94" t="str" cm="1">
        <f t="array" ref="L93">_xlfn.IFS(J93&lt;2,"Fresher",J93&lt;=3,"Mid Level",J93&gt;3,"Experienced")</f>
        <v>Experienced</v>
      </c>
      <c r="M93" s="90" t="str" cm="1">
        <f t="array" ref="M93">_xlfn.IFS(I93&gt;=600000,"High",I93&gt;=450000,"Medium",I93&lt;450000,"Low")</f>
        <v>Low</v>
      </c>
      <c r="N93" s="94">
        <f t="shared" si="8"/>
        <v>0.01</v>
      </c>
      <c r="O93" s="92" t="str">
        <f t="shared" si="9"/>
        <v>Unique</v>
      </c>
      <c r="P93" s="94">
        <f t="shared" si="7"/>
        <v>6</v>
      </c>
    </row>
    <row r="94" spans="1:16">
      <c r="A94" s="115">
        <v>3101092</v>
      </c>
      <c r="B94" s="85" t="s">
        <v>269</v>
      </c>
      <c r="C94" s="96" t="s">
        <v>264</v>
      </c>
      <c r="D94" s="85" t="s">
        <v>12</v>
      </c>
      <c r="E94" s="96" t="s">
        <v>13</v>
      </c>
      <c r="F94" s="96" t="s">
        <v>24</v>
      </c>
      <c r="G94" s="85" t="s">
        <v>25</v>
      </c>
      <c r="H94" s="98">
        <v>46276</v>
      </c>
      <c r="I94" s="85">
        <v>575000</v>
      </c>
      <c r="J94" s="96">
        <v>2</v>
      </c>
      <c r="K94" s="106">
        <v>95</v>
      </c>
      <c r="L94" s="94" t="str" cm="1">
        <f t="array" ref="L94">_xlfn.IFS(J94&lt;2,"Fresher",J94&lt;=3,"Mid Level",J94&gt;3,"Experienced")</f>
        <v>Mid Level</v>
      </c>
      <c r="M94" s="90" t="str" cm="1">
        <f t="array" ref="M94">_xlfn.IFS(I94&gt;=600000,"High",I94&gt;=450000,"Medium",I94&lt;450000,"Low")</f>
        <v>Medium</v>
      </c>
      <c r="N94" s="94">
        <f t="shared" si="8"/>
        <v>0.02</v>
      </c>
      <c r="O94" s="92" t="str">
        <f t="shared" si="9"/>
        <v>Unique</v>
      </c>
      <c r="P94" s="94">
        <f t="shared" si="7"/>
        <v>9</v>
      </c>
    </row>
    <row r="95" spans="1:16">
      <c r="A95" s="115">
        <v>3101093</v>
      </c>
      <c r="B95" s="85" t="s">
        <v>253</v>
      </c>
      <c r="C95" s="96" t="s">
        <v>17</v>
      </c>
      <c r="D95" s="85" t="s">
        <v>18</v>
      </c>
      <c r="E95" s="96" t="s">
        <v>19</v>
      </c>
      <c r="F95" s="96" t="s">
        <v>24</v>
      </c>
      <c r="G95" s="85" t="s">
        <v>21</v>
      </c>
      <c r="H95" s="98">
        <v>46147</v>
      </c>
      <c r="I95" s="85">
        <v>345000</v>
      </c>
      <c r="J95" s="96">
        <v>0</v>
      </c>
      <c r="K95" s="106">
        <v>73</v>
      </c>
      <c r="L95" s="94" t="str" cm="1">
        <f t="array" ref="L95">_xlfn.IFS(J95&lt;2,"Fresher",J95&lt;=3,"Mid Level",J95&gt;3,"Experienced")</f>
        <v>Fresher</v>
      </c>
      <c r="M95" s="90" t="str" cm="1">
        <f t="array" ref="M95">_xlfn.IFS(I95&gt;=600000,"High",I95&gt;=450000,"Medium",I95&lt;450000,"Low")</f>
        <v>Low</v>
      </c>
      <c r="N95" s="94">
        <f t="shared" si="8"/>
        <v>0.02</v>
      </c>
      <c r="O95" s="92" t="str">
        <f t="shared" si="9"/>
        <v>Unique</v>
      </c>
      <c r="P95" s="94">
        <f t="shared" si="7"/>
        <v>5</v>
      </c>
    </row>
    <row r="96" spans="1:16">
      <c r="A96" s="115">
        <v>3101094</v>
      </c>
      <c r="B96" s="85" t="s">
        <v>270</v>
      </c>
      <c r="C96" s="96" t="s">
        <v>38</v>
      </c>
      <c r="D96" s="85" t="s">
        <v>28</v>
      </c>
      <c r="E96" s="96" t="s">
        <v>297</v>
      </c>
      <c r="F96" s="96" t="s">
        <v>24</v>
      </c>
      <c r="G96" s="85" t="s">
        <v>25</v>
      </c>
      <c r="H96" s="98">
        <v>46188</v>
      </c>
      <c r="I96" s="85">
        <v>475000</v>
      </c>
      <c r="J96" s="96">
        <v>5</v>
      </c>
      <c r="K96" s="106">
        <v>84</v>
      </c>
      <c r="L96" s="94" t="str" cm="1">
        <f t="array" ref="L96">_xlfn.IFS(J96&lt;2,"Fresher",J96&lt;=3,"Mid Level",J96&gt;3,"Experienced")</f>
        <v>Experienced</v>
      </c>
      <c r="M96" s="90" t="str" cm="1">
        <f t="array" ref="M96">_xlfn.IFS(I96&gt;=600000,"High",I96&gt;=450000,"Medium",I96&lt;450000,"Low")</f>
        <v>Medium</v>
      </c>
      <c r="N96" s="94">
        <f t="shared" si="8"/>
        <v>0.02</v>
      </c>
      <c r="O96" s="92" t="str">
        <f t="shared" si="9"/>
        <v>Unique</v>
      </c>
      <c r="P96" s="94">
        <f t="shared" si="7"/>
        <v>6</v>
      </c>
    </row>
    <row r="97" spans="1:16">
      <c r="A97" s="115">
        <v>3101095</v>
      </c>
      <c r="B97" s="85" t="s">
        <v>305</v>
      </c>
      <c r="C97" s="96" t="s">
        <v>258</v>
      </c>
      <c r="D97" s="85" t="s">
        <v>32</v>
      </c>
      <c r="E97" s="96" t="s">
        <v>300</v>
      </c>
      <c r="F97" s="96" t="s">
        <v>24</v>
      </c>
      <c r="G97" s="85" t="s">
        <v>15</v>
      </c>
      <c r="H97" s="98">
        <v>46214</v>
      </c>
      <c r="I97" s="85">
        <v>285000</v>
      </c>
      <c r="J97" s="96">
        <v>3</v>
      </c>
      <c r="K97" s="106">
        <v>79</v>
      </c>
      <c r="L97" s="94" t="str" cm="1">
        <f t="array" ref="L97">_xlfn.IFS(J97&lt;2,"Fresher",J97&lt;=3,"Mid Level",J97&gt;3,"Experienced")</f>
        <v>Mid Level</v>
      </c>
      <c r="M97" s="90" t="str" cm="1">
        <f t="array" ref="M97">_xlfn.IFS(I97&gt;=600000,"High",I97&gt;=450000,"Medium",I97&lt;450000,"Low")</f>
        <v>Low</v>
      </c>
      <c r="N97" s="94">
        <f t="shared" si="8"/>
        <v>0.02</v>
      </c>
      <c r="O97" s="92" t="str">
        <f t="shared" si="9"/>
        <v>Unique</v>
      </c>
      <c r="P97" s="94">
        <f t="shared" si="7"/>
        <v>7</v>
      </c>
    </row>
    <row r="98" spans="1:16">
      <c r="A98" s="115">
        <v>3101096</v>
      </c>
      <c r="B98" s="85" t="s">
        <v>276</v>
      </c>
      <c r="C98" s="96" t="s">
        <v>38</v>
      </c>
      <c r="D98" s="85" t="s">
        <v>28</v>
      </c>
      <c r="E98" s="96" t="s">
        <v>297</v>
      </c>
      <c r="F98" s="96" t="s">
        <v>34</v>
      </c>
      <c r="G98" s="85" t="s">
        <v>21</v>
      </c>
      <c r="H98" s="98">
        <v>46226</v>
      </c>
      <c r="I98" s="85">
        <v>530000</v>
      </c>
      <c r="J98" s="96">
        <v>4</v>
      </c>
      <c r="K98" s="106">
        <v>71</v>
      </c>
      <c r="L98" s="94" t="str" cm="1">
        <f t="array" ref="L98">_xlfn.IFS(J98&lt;2,"Fresher",J98&lt;=3,"Mid Level",J98&gt;3,"Experienced")</f>
        <v>Experienced</v>
      </c>
      <c r="M98" s="90" t="str" cm="1">
        <f t="array" ref="M98">_xlfn.IFS(I98&gt;=600000,"High",I98&gt;=450000,"Medium",I98&lt;450000,"Low")</f>
        <v>Medium</v>
      </c>
      <c r="N98" s="94">
        <f t="shared" si="8"/>
        <v>0.01</v>
      </c>
      <c r="O98" s="92" t="str">
        <f t="shared" si="9"/>
        <v>Unique</v>
      </c>
      <c r="P98" s="94">
        <f t="shared" si="7"/>
        <v>7</v>
      </c>
    </row>
    <row r="99" spans="1:16">
      <c r="A99" s="115">
        <v>3101097</v>
      </c>
      <c r="B99" s="85" t="s">
        <v>279</v>
      </c>
      <c r="C99" s="96" t="s">
        <v>268</v>
      </c>
      <c r="D99" s="85" t="s">
        <v>12</v>
      </c>
      <c r="E99" s="96" t="s">
        <v>303</v>
      </c>
      <c r="F99" s="96" t="s">
        <v>34</v>
      </c>
      <c r="G99" s="85" t="s">
        <v>15</v>
      </c>
      <c r="H99" s="98">
        <v>46270</v>
      </c>
      <c r="I99" s="85">
        <v>510000</v>
      </c>
      <c r="J99" s="96">
        <v>1</v>
      </c>
      <c r="K99" s="106">
        <v>89</v>
      </c>
      <c r="L99" s="94" t="str" cm="1">
        <f t="array" ref="L99">_xlfn.IFS(J99&lt;2,"Fresher",J99&lt;=3,"Mid Level",J99&gt;3,"Experienced")</f>
        <v>Fresher</v>
      </c>
      <c r="M99" s="90" t="str" cm="1">
        <f t="array" ref="M99">_xlfn.IFS(I99&gt;=600000,"High",I99&gt;=450000,"Medium",I99&lt;450000,"Low")</f>
        <v>Medium</v>
      </c>
      <c r="N99" s="94">
        <f t="shared" si="8"/>
        <v>0.01</v>
      </c>
      <c r="O99" s="92" t="str">
        <f t="shared" si="9"/>
        <v>Unique</v>
      </c>
      <c r="P99" s="94">
        <f t="shared" si="7"/>
        <v>9</v>
      </c>
    </row>
    <row r="100" spans="1:16">
      <c r="A100" s="115">
        <v>3101098</v>
      </c>
      <c r="B100" s="85" t="s">
        <v>298</v>
      </c>
      <c r="C100" s="96" t="s">
        <v>264</v>
      </c>
      <c r="D100" s="85" t="s">
        <v>12</v>
      </c>
      <c r="E100" s="96" t="s">
        <v>261</v>
      </c>
      <c r="F100" s="96" t="s">
        <v>20</v>
      </c>
      <c r="G100" s="85" t="s">
        <v>15</v>
      </c>
      <c r="H100" s="98">
        <v>46215</v>
      </c>
      <c r="I100" s="85">
        <v>685000</v>
      </c>
      <c r="J100" s="96">
        <v>4</v>
      </c>
      <c r="K100" s="106">
        <v>67</v>
      </c>
      <c r="L100" s="94" t="str" cm="1">
        <f t="array" ref="L100">_xlfn.IFS(J100&lt;2,"Fresher",J100&lt;=3,"Mid Level",J100&gt;3,"Experienced")</f>
        <v>Experienced</v>
      </c>
      <c r="M100" s="90" t="str" cm="1">
        <f t="array" ref="M100">_xlfn.IFS(I100&gt;=600000,"High",I100&gt;=450000,"Medium",I100&lt;450000,"Low")</f>
        <v>High</v>
      </c>
      <c r="N100" s="94">
        <f t="shared" si="8"/>
        <v>0.05</v>
      </c>
      <c r="O100" s="92" t="str">
        <f t="shared" si="9"/>
        <v>Unique</v>
      </c>
      <c r="P100" s="94">
        <f t="shared" si="7"/>
        <v>7</v>
      </c>
    </row>
    <row r="101" spans="1:16">
      <c r="A101" s="115">
        <v>3101099</v>
      </c>
      <c r="B101" s="85" t="s">
        <v>26</v>
      </c>
      <c r="C101" s="96" t="s">
        <v>260</v>
      </c>
      <c r="D101" s="85" t="s">
        <v>12</v>
      </c>
      <c r="E101" s="96" t="s">
        <v>265</v>
      </c>
      <c r="F101" s="96" t="s">
        <v>14</v>
      </c>
      <c r="G101" s="85" t="s">
        <v>256</v>
      </c>
      <c r="H101" s="98">
        <v>46161</v>
      </c>
      <c r="I101" s="85">
        <v>725000</v>
      </c>
      <c r="J101" s="96">
        <v>5</v>
      </c>
      <c r="K101" s="106">
        <v>86</v>
      </c>
      <c r="L101" s="94" t="str" cm="1">
        <f t="array" ref="L101">_xlfn.IFS(J101&lt;2,"Fresher",J101&lt;=3,"Mid Level",J101&gt;3,"Experienced")</f>
        <v>Experienced</v>
      </c>
      <c r="M101" s="90" t="str" cm="1">
        <f t="array" ref="M101">_xlfn.IFS(I101&gt;=600000,"High",I101&gt;=450000,"Medium",I101&lt;450000,"Low")</f>
        <v>High</v>
      </c>
      <c r="N101" s="94">
        <f t="shared" si="8"/>
        <v>0.02</v>
      </c>
      <c r="O101" s="92" t="str">
        <f t="shared" si="9"/>
        <v>Unique</v>
      </c>
      <c r="P101" s="94">
        <f t="shared" si="7"/>
        <v>5</v>
      </c>
    </row>
    <row r="102" spans="1:16">
      <c r="A102" s="115">
        <v>3101100</v>
      </c>
      <c r="B102" s="85" t="s">
        <v>267</v>
      </c>
      <c r="C102" s="96" t="s">
        <v>268</v>
      </c>
      <c r="D102" s="85" t="s">
        <v>18</v>
      </c>
      <c r="E102" s="96" t="s">
        <v>39</v>
      </c>
      <c r="F102" s="96" t="s">
        <v>14</v>
      </c>
      <c r="G102" s="85" t="s">
        <v>256</v>
      </c>
      <c r="H102" s="98">
        <v>46278</v>
      </c>
      <c r="I102" s="85">
        <v>420000</v>
      </c>
      <c r="J102" s="96">
        <v>4</v>
      </c>
      <c r="K102" s="106">
        <v>92</v>
      </c>
      <c r="L102" s="94" t="str" cm="1">
        <f t="array" ref="L102">_xlfn.IFS(J102&lt;2,"Fresher",J102&lt;=3,"Mid Level",J102&gt;3,"Experienced")</f>
        <v>Experienced</v>
      </c>
      <c r="M102" s="90" t="str" cm="1">
        <f t="array" ref="M102">_xlfn.IFS(I102&gt;=600000,"High",I102&gt;=450000,"Medium",I102&lt;450000,"Low")</f>
        <v>Low</v>
      </c>
      <c r="N102" s="94">
        <f t="shared" si="8"/>
        <v>0.02</v>
      </c>
      <c r="O102" s="92" t="str">
        <f t="shared" si="9"/>
        <v>Unique</v>
      </c>
      <c r="P102" s="94">
        <f t="shared" si="7"/>
        <v>9</v>
      </c>
    </row>
    <row r="103" spans="1:16">
      <c r="A103" s="115">
        <v>3101101</v>
      </c>
      <c r="B103" s="85" t="s">
        <v>295</v>
      </c>
      <c r="C103" s="96" t="s">
        <v>264</v>
      </c>
      <c r="D103" s="85" t="s">
        <v>32</v>
      </c>
      <c r="E103" s="96" t="s">
        <v>33</v>
      </c>
      <c r="F103" s="96" t="s">
        <v>34</v>
      </c>
      <c r="G103" s="85" t="s">
        <v>21</v>
      </c>
      <c r="H103" s="98">
        <v>46164</v>
      </c>
      <c r="I103" s="85">
        <v>335000</v>
      </c>
      <c r="J103" s="96">
        <v>4</v>
      </c>
      <c r="K103" s="106">
        <v>69</v>
      </c>
      <c r="L103" s="94" t="str" cm="1">
        <f t="array" ref="L103">_xlfn.IFS(J103&lt;2,"Fresher",J103&lt;=3,"Mid Level",J103&gt;3,"Experienced")</f>
        <v>Experienced</v>
      </c>
      <c r="M103" s="90" t="str" cm="1">
        <f t="array" ref="M103">_xlfn.IFS(I103&gt;=600000,"High",I103&gt;=450000,"Medium",I103&lt;450000,"Low")</f>
        <v>Low</v>
      </c>
      <c r="N103" s="94">
        <f t="shared" si="8"/>
        <v>0.01</v>
      </c>
      <c r="O103" s="92" t="str">
        <f t="shared" si="9"/>
        <v>Unique</v>
      </c>
      <c r="P103" s="94">
        <f t="shared" si="7"/>
        <v>5</v>
      </c>
    </row>
    <row r="104" spans="1:16">
      <c r="A104" s="115">
        <v>3101102</v>
      </c>
      <c r="B104" s="85" t="s">
        <v>279</v>
      </c>
      <c r="C104" s="96" t="s">
        <v>258</v>
      </c>
      <c r="D104" s="85" t="s">
        <v>32</v>
      </c>
      <c r="E104" s="96" t="s">
        <v>33</v>
      </c>
      <c r="F104" s="96" t="s">
        <v>14</v>
      </c>
      <c r="G104" s="85" t="s">
        <v>256</v>
      </c>
      <c r="H104" s="98">
        <v>46199</v>
      </c>
      <c r="I104" s="85">
        <v>425000</v>
      </c>
      <c r="J104" s="96">
        <v>0</v>
      </c>
      <c r="K104" s="106">
        <v>81</v>
      </c>
      <c r="L104" s="94" t="str" cm="1">
        <f t="array" ref="L104">_xlfn.IFS(J104&lt;2,"Fresher",J104&lt;=3,"Mid Level",J104&gt;3,"Experienced")</f>
        <v>Fresher</v>
      </c>
      <c r="M104" s="90" t="str" cm="1">
        <f t="array" ref="M104">_xlfn.IFS(I104&gt;=600000,"High",I104&gt;=450000,"Medium",I104&lt;450000,"Low")</f>
        <v>Low</v>
      </c>
      <c r="N104" s="94">
        <f t="shared" si="8"/>
        <v>0.02</v>
      </c>
      <c r="O104" s="92" t="str">
        <f t="shared" si="9"/>
        <v>Unique</v>
      </c>
      <c r="P104" s="94">
        <f t="shared" si="7"/>
        <v>6</v>
      </c>
    </row>
    <row r="105" spans="1:16">
      <c r="A105" s="115">
        <v>3101103</v>
      </c>
      <c r="B105" s="85" t="s">
        <v>290</v>
      </c>
      <c r="C105" s="96" t="s">
        <v>38</v>
      </c>
      <c r="D105" s="85" t="s">
        <v>28</v>
      </c>
      <c r="E105" s="96" t="s">
        <v>29</v>
      </c>
      <c r="F105" s="96" t="s">
        <v>24</v>
      </c>
      <c r="G105" s="85" t="s">
        <v>21</v>
      </c>
      <c r="H105" s="98">
        <v>46214</v>
      </c>
      <c r="I105" s="85">
        <v>455000</v>
      </c>
      <c r="J105" s="96">
        <v>5</v>
      </c>
      <c r="K105" s="106">
        <v>94</v>
      </c>
      <c r="L105" s="94" t="str" cm="1">
        <f t="array" ref="L105">_xlfn.IFS(J105&lt;2,"Fresher",J105&lt;=3,"Mid Level",J105&gt;3,"Experienced")</f>
        <v>Experienced</v>
      </c>
      <c r="M105" s="90" t="str" cm="1">
        <f t="array" ref="M105">_xlfn.IFS(I105&gt;=600000,"High",I105&gt;=450000,"Medium",I105&lt;450000,"Low")</f>
        <v>Medium</v>
      </c>
      <c r="N105" s="94">
        <f t="shared" si="8"/>
        <v>0.02</v>
      </c>
      <c r="O105" s="92" t="str">
        <f t="shared" si="9"/>
        <v>Unique</v>
      </c>
      <c r="P105" s="94">
        <f t="shared" si="7"/>
        <v>7</v>
      </c>
    </row>
    <row r="106" spans="1:16">
      <c r="A106" s="115">
        <v>3101104</v>
      </c>
      <c r="B106" s="85" t="s">
        <v>262</v>
      </c>
      <c r="C106" s="96" t="s">
        <v>264</v>
      </c>
      <c r="D106" s="85" t="s">
        <v>12</v>
      </c>
      <c r="E106" s="96" t="s">
        <v>303</v>
      </c>
      <c r="F106" s="96" t="s">
        <v>20</v>
      </c>
      <c r="G106" s="85" t="s">
        <v>21</v>
      </c>
      <c r="H106" s="98">
        <v>46283</v>
      </c>
      <c r="I106" s="85">
        <v>595000</v>
      </c>
      <c r="J106" s="96">
        <v>1</v>
      </c>
      <c r="K106" s="106">
        <v>77</v>
      </c>
      <c r="L106" s="94" t="str" cm="1">
        <f t="array" ref="L106">_xlfn.IFS(J106&lt;2,"Fresher",J106&lt;=3,"Mid Level",J106&gt;3,"Experienced")</f>
        <v>Fresher</v>
      </c>
      <c r="M106" s="90" t="str" cm="1">
        <f t="array" ref="M106">_xlfn.IFS(I106&gt;=600000,"High",I106&gt;=450000,"Medium",I106&lt;450000,"Low")</f>
        <v>Medium</v>
      </c>
      <c r="N106" s="94">
        <f t="shared" si="8"/>
        <v>0.05</v>
      </c>
      <c r="O106" s="92" t="str">
        <f t="shared" si="9"/>
        <v>Unique</v>
      </c>
      <c r="P106" s="94">
        <f t="shared" si="7"/>
        <v>9</v>
      </c>
    </row>
    <row r="107" spans="1:16">
      <c r="A107" s="115">
        <v>3101105</v>
      </c>
      <c r="B107" s="85" t="s">
        <v>259</v>
      </c>
      <c r="C107" s="96" t="s">
        <v>27</v>
      </c>
      <c r="D107" s="85" t="s">
        <v>12</v>
      </c>
      <c r="E107" s="96" t="s">
        <v>36</v>
      </c>
      <c r="F107" s="96" t="s">
        <v>14</v>
      </c>
      <c r="G107" s="85" t="s">
        <v>25</v>
      </c>
      <c r="H107" s="98">
        <v>46153</v>
      </c>
      <c r="I107" s="85">
        <v>690000</v>
      </c>
      <c r="J107" s="96">
        <v>2</v>
      </c>
      <c r="K107" s="106">
        <v>72</v>
      </c>
      <c r="L107" s="94" t="str" cm="1">
        <f t="array" ref="L107">_xlfn.IFS(J107&lt;2,"Fresher",J107&lt;=3,"Mid Level",J107&gt;3,"Experienced")</f>
        <v>Mid Level</v>
      </c>
      <c r="M107" s="90" t="str" cm="1">
        <f t="array" ref="M107">_xlfn.IFS(I107&gt;=600000,"High",I107&gt;=450000,"Medium",I107&lt;450000,"Low")</f>
        <v>High</v>
      </c>
      <c r="N107" s="94">
        <f t="shared" si="8"/>
        <v>0.02</v>
      </c>
      <c r="O107" s="92" t="str">
        <f t="shared" si="9"/>
        <v>Unique</v>
      </c>
      <c r="P107" s="94">
        <f t="shared" si="7"/>
        <v>5</v>
      </c>
    </row>
    <row r="108" spans="1:16">
      <c r="A108" s="115">
        <v>3101106</v>
      </c>
      <c r="B108" s="85" t="s">
        <v>44</v>
      </c>
      <c r="C108" s="96" t="s">
        <v>27</v>
      </c>
      <c r="D108" s="85" t="s">
        <v>12</v>
      </c>
      <c r="E108" s="96" t="s">
        <v>261</v>
      </c>
      <c r="F108" s="96" t="s">
        <v>34</v>
      </c>
      <c r="G108" s="85" t="s">
        <v>15</v>
      </c>
      <c r="H108" s="98">
        <v>46188</v>
      </c>
      <c r="I108" s="85">
        <v>640000</v>
      </c>
      <c r="J108" s="96">
        <v>1</v>
      </c>
      <c r="K108" s="106">
        <v>90</v>
      </c>
      <c r="L108" s="94" t="str" cm="1">
        <f t="array" ref="L108">_xlfn.IFS(J108&lt;2,"Fresher",J108&lt;=3,"Mid Level",J108&gt;3,"Experienced")</f>
        <v>Fresher</v>
      </c>
      <c r="M108" s="90" t="str" cm="1">
        <f t="array" ref="M108">_xlfn.IFS(I108&gt;=600000,"High",I108&gt;=450000,"Medium",I108&lt;450000,"Low")</f>
        <v>High</v>
      </c>
      <c r="N108" s="94">
        <f t="shared" si="8"/>
        <v>0.01</v>
      </c>
      <c r="O108" s="92" t="str">
        <f t="shared" si="9"/>
        <v>Unique</v>
      </c>
      <c r="P108" s="94">
        <f t="shared" si="7"/>
        <v>6</v>
      </c>
    </row>
    <row r="109" spans="1:16">
      <c r="A109" s="115">
        <v>3101107</v>
      </c>
      <c r="B109" s="85" t="s">
        <v>294</v>
      </c>
      <c r="C109" s="96" t="s">
        <v>27</v>
      </c>
      <c r="D109" s="85" t="s">
        <v>32</v>
      </c>
      <c r="E109" s="96" t="s">
        <v>33</v>
      </c>
      <c r="F109" s="96" t="s">
        <v>24</v>
      </c>
      <c r="G109" s="85" t="s">
        <v>21</v>
      </c>
      <c r="H109" s="98">
        <v>46270</v>
      </c>
      <c r="I109" s="85">
        <v>285000</v>
      </c>
      <c r="J109" s="96">
        <v>4</v>
      </c>
      <c r="K109" s="106">
        <v>74</v>
      </c>
      <c r="L109" s="94" t="str" cm="1">
        <f t="array" ref="L109">_xlfn.IFS(J109&lt;2,"Fresher",J109&lt;=3,"Mid Level",J109&gt;3,"Experienced")</f>
        <v>Experienced</v>
      </c>
      <c r="M109" s="90" t="str" cm="1">
        <f t="array" ref="M109">_xlfn.IFS(I109&gt;=600000,"High",I109&gt;=450000,"Medium",I109&lt;450000,"Low")</f>
        <v>Low</v>
      </c>
      <c r="N109" s="94">
        <f t="shared" si="8"/>
        <v>0.02</v>
      </c>
      <c r="O109" s="92" t="str">
        <f t="shared" si="9"/>
        <v>Unique</v>
      </c>
      <c r="P109" s="94">
        <f t="shared" si="7"/>
        <v>9</v>
      </c>
    </row>
    <row r="110" spans="1:16">
      <c r="A110" s="115">
        <v>3101108</v>
      </c>
      <c r="B110" s="85" t="s">
        <v>267</v>
      </c>
      <c r="C110" s="96" t="s">
        <v>38</v>
      </c>
      <c r="D110" s="85" t="s">
        <v>18</v>
      </c>
      <c r="E110" s="96" t="s">
        <v>19</v>
      </c>
      <c r="F110" s="96" t="s">
        <v>34</v>
      </c>
      <c r="G110" s="85" t="s">
        <v>256</v>
      </c>
      <c r="H110" s="98">
        <v>46168</v>
      </c>
      <c r="I110" s="85">
        <v>430000</v>
      </c>
      <c r="J110" s="96">
        <v>3</v>
      </c>
      <c r="K110" s="106">
        <v>85</v>
      </c>
      <c r="L110" s="94" t="str" cm="1">
        <f t="array" ref="L110">_xlfn.IFS(J110&lt;2,"Fresher",J110&lt;=3,"Mid Level",J110&gt;3,"Experienced")</f>
        <v>Mid Level</v>
      </c>
      <c r="M110" s="90" t="str" cm="1">
        <f t="array" ref="M110">_xlfn.IFS(I110&gt;=600000,"High",I110&gt;=450000,"Medium",I110&lt;450000,"Low")</f>
        <v>Low</v>
      </c>
      <c r="N110" s="94">
        <f t="shared" si="8"/>
        <v>0.01</v>
      </c>
      <c r="O110" s="92" t="str">
        <f t="shared" si="9"/>
        <v>Unique</v>
      </c>
      <c r="P110" s="94">
        <f t="shared" si="7"/>
        <v>5</v>
      </c>
    </row>
    <row r="111" spans="1:16">
      <c r="A111" s="115">
        <v>3101109</v>
      </c>
      <c r="B111" s="85" t="s">
        <v>259</v>
      </c>
      <c r="C111" s="96" t="s">
        <v>264</v>
      </c>
      <c r="D111" s="85" t="s">
        <v>12</v>
      </c>
      <c r="E111" s="96" t="s">
        <v>36</v>
      </c>
      <c r="F111" s="96" t="s">
        <v>14</v>
      </c>
      <c r="G111" s="85" t="s">
        <v>21</v>
      </c>
      <c r="H111" s="98">
        <v>46159</v>
      </c>
      <c r="I111" s="85">
        <v>725000</v>
      </c>
      <c r="J111" s="96">
        <v>0</v>
      </c>
      <c r="K111" s="106">
        <v>94</v>
      </c>
      <c r="L111" s="94" t="str" cm="1">
        <f t="array" ref="L111">_xlfn.IFS(J111&lt;2,"Fresher",J111&lt;=3,"Mid Level",J111&gt;3,"Experienced")</f>
        <v>Fresher</v>
      </c>
      <c r="M111" s="90" t="str" cm="1">
        <f t="array" ref="M111">_xlfn.IFS(I111&gt;=600000,"High",I111&gt;=450000,"Medium",I111&lt;450000,"Low")</f>
        <v>High</v>
      </c>
      <c r="N111" s="94">
        <f t="shared" si="8"/>
        <v>0.02</v>
      </c>
      <c r="O111" s="92" t="str">
        <f t="shared" si="9"/>
        <v>Unique</v>
      </c>
      <c r="P111" s="94">
        <f t="shared" si="7"/>
        <v>5</v>
      </c>
    </row>
    <row r="112" spans="1:16">
      <c r="A112" s="115">
        <v>3101110</v>
      </c>
      <c r="B112" s="85" t="s">
        <v>279</v>
      </c>
      <c r="C112" s="96" t="s">
        <v>264</v>
      </c>
      <c r="D112" s="85" t="s">
        <v>12</v>
      </c>
      <c r="E112" s="96" t="s">
        <v>13</v>
      </c>
      <c r="F112" s="96" t="s">
        <v>24</v>
      </c>
      <c r="G112" s="85" t="s">
        <v>21</v>
      </c>
      <c r="H112" s="98">
        <v>46168</v>
      </c>
      <c r="I112" s="85">
        <v>590000</v>
      </c>
      <c r="J112" s="96">
        <v>3</v>
      </c>
      <c r="K112" s="106">
        <v>68</v>
      </c>
      <c r="L112" s="94" t="str" cm="1">
        <f t="array" ref="L112">_xlfn.IFS(J112&lt;2,"Fresher",J112&lt;=3,"Mid Level",J112&gt;3,"Experienced")</f>
        <v>Mid Level</v>
      </c>
      <c r="M112" s="90" t="str" cm="1">
        <f t="array" ref="M112">_xlfn.IFS(I112&gt;=600000,"High",I112&gt;=450000,"Medium",I112&lt;450000,"Low")</f>
        <v>Medium</v>
      </c>
      <c r="N112" s="94">
        <f t="shared" si="8"/>
        <v>0.02</v>
      </c>
      <c r="O112" s="92" t="str">
        <f t="shared" si="9"/>
        <v>Unique</v>
      </c>
      <c r="P112" s="94">
        <f t="shared" si="7"/>
        <v>5</v>
      </c>
    </row>
    <row r="113" spans="1:16">
      <c r="A113" s="115">
        <v>3101111</v>
      </c>
      <c r="B113" s="85" t="s">
        <v>311</v>
      </c>
      <c r="C113" s="96" t="s">
        <v>38</v>
      </c>
      <c r="D113" s="85" t="s">
        <v>12</v>
      </c>
      <c r="E113" s="96" t="s">
        <v>36</v>
      </c>
      <c r="F113" s="96" t="s">
        <v>24</v>
      </c>
      <c r="G113" s="85" t="s">
        <v>15</v>
      </c>
      <c r="H113" s="98">
        <v>46271</v>
      </c>
      <c r="I113" s="85">
        <v>735000</v>
      </c>
      <c r="J113" s="96">
        <v>1</v>
      </c>
      <c r="K113" s="106">
        <v>87</v>
      </c>
      <c r="L113" s="94" t="str" cm="1">
        <f t="array" ref="L113">_xlfn.IFS(J113&lt;2,"Fresher",J113&lt;=3,"Mid Level",J113&gt;3,"Experienced")</f>
        <v>Fresher</v>
      </c>
      <c r="M113" s="90" t="str" cm="1">
        <f t="array" ref="M113">_xlfn.IFS(I113&gt;=600000,"High",I113&gt;=450000,"Medium",I113&lt;450000,"Low")</f>
        <v>High</v>
      </c>
      <c r="N113" s="94">
        <f t="shared" si="8"/>
        <v>0.02</v>
      </c>
      <c r="O113" s="92" t="str">
        <f t="shared" si="9"/>
        <v>Unique</v>
      </c>
      <c r="P113" s="94">
        <f t="shared" si="7"/>
        <v>9</v>
      </c>
    </row>
    <row r="114" spans="1:16">
      <c r="A114" s="115">
        <v>3101112</v>
      </c>
      <c r="B114" s="85" t="s">
        <v>169</v>
      </c>
      <c r="C114" s="96" t="s">
        <v>258</v>
      </c>
      <c r="D114" s="85" t="s">
        <v>32</v>
      </c>
      <c r="E114" s="96" t="s">
        <v>300</v>
      </c>
      <c r="F114" s="96" t="s">
        <v>20</v>
      </c>
      <c r="G114" s="85" t="s">
        <v>21</v>
      </c>
      <c r="H114" s="98">
        <v>46237</v>
      </c>
      <c r="I114" s="85">
        <v>310000</v>
      </c>
      <c r="J114" s="96">
        <v>5</v>
      </c>
      <c r="K114" s="106">
        <v>82</v>
      </c>
      <c r="L114" s="94" t="str" cm="1">
        <f t="array" ref="L114">_xlfn.IFS(J114&lt;2,"Fresher",J114&lt;=3,"Mid Level",J114&gt;3,"Experienced")</f>
        <v>Experienced</v>
      </c>
      <c r="M114" s="90" t="str" cm="1">
        <f t="array" ref="M114">_xlfn.IFS(I114&gt;=600000,"High",I114&gt;=450000,"Medium",I114&lt;450000,"Low")</f>
        <v>Low</v>
      </c>
      <c r="N114" s="94">
        <f t="shared" si="8"/>
        <v>0.05</v>
      </c>
      <c r="O114" s="92" t="str">
        <f t="shared" si="9"/>
        <v>Unique</v>
      </c>
      <c r="P114" s="94">
        <f t="shared" si="7"/>
        <v>8</v>
      </c>
    </row>
    <row r="115" spans="1:16">
      <c r="A115" s="115">
        <v>3101113</v>
      </c>
      <c r="B115" s="85" t="s">
        <v>283</v>
      </c>
      <c r="C115" s="96" t="s">
        <v>268</v>
      </c>
      <c r="D115" s="85" t="s">
        <v>18</v>
      </c>
      <c r="E115" s="96" t="s">
        <v>19</v>
      </c>
      <c r="F115" s="96" t="s">
        <v>20</v>
      </c>
      <c r="G115" s="85" t="s">
        <v>15</v>
      </c>
      <c r="H115" s="98">
        <v>46199</v>
      </c>
      <c r="I115" s="85">
        <v>360000</v>
      </c>
      <c r="J115" s="96">
        <v>5</v>
      </c>
      <c r="K115" s="106">
        <v>76</v>
      </c>
      <c r="L115" s="94" t="str" cm="1">
        <f t="array" ref="L115">_xlfn.IFS(J115&lt;2,"Fresher",J115&lt;=3,"Mid Level",J115&gt;3,"Experienced")</f>
        <v>Experienced</v>
      </c>
      <c r="M115" s="90" t="str" cm="1">
        <f t="array" ref="M115">_xlfn.IFS(I115&gt;=600000,"High",I115&gt;=450000,"Medium",I115&lt;450000,"Low")</f>
        <v>Low</v>
      </c>
      <c r="N115" s="94">
        <f t="shared" si="8"/>
        <v>0.05</v>
      </c>
      <c r="O115" s="92" t="str">
        <f t="shared" si="9"/>
        <v>Unique</v>
      </c>
      <c r="P115" s="94">
        <f t="shared" si="7"/>
        <v>6</v>
      </c>
    </row>
    <row r="116" spans="1:16">
      <c r="A116" s="115">
        <v>3101114</v>
      </c>
      <c r="B116" s="85" t="s">
        <v>254</v>
      </c>
      <c r="C116" s="96" t="s">
        <v>17</v>
      </c>
      <c r="D116" s="85" t="s">
        <v>12</v>
      </c>
      <c r="E116" s="96" t="s">
        <v>303</v>
      </c>
      <c r="F116" s="96" t="s">
        <v>24</v>
      </c>
      <c r="G116" s="85" t="s">
        <v>15</v>
      </c>
      <c r="H116" s="98">
        <v>46197</v>
      </c>
      <c r="I116" s="85">
        <v>775000</v>
      </c>
      <c r="J116" s="96">
        <v>5</v>
      </c>
      <c r="K116" s="106">
        <v>88</v>
      </c>
      <c r="L116" s="94" t="str" cm="1">
        <f t="array" ref="L116">_xlfn.IFS(J116&lt;2,"Fresher",J116&lt;=3,"Mid Level",J116&gt;3,"Experienced")</f>
        <v>Experienced</v>
      </c>
      <c r="M116" s="90" t="str" cm="1">
        <f t="array" ref="M116">_xlfn.IFS(I116&gt;=600000,"High",I116&gt;=450000,"Medium",I116&lt;450000,"Low")</f>
        <v>High</v>
      </c>
      <c r="N116" s="94">
        <f t="shared" si="8"/>
        <v>0.02</v>
      </c>
      <c r="O116" s="92" t="str">
        <f t="shared" si="9"/>
        <v>Unique</v>
      </c>
      <c r="P116" s="94">
        <f t="shared" si="7"/>
        <v>6</v>
      </c>
    </row>
    <row r="117" spans="1:16">
      <c r="A117" s="115">
        <v>3101115</v>
      </c>
      <c r="B117" s="85" t="s">
        <v>289</v>
      </c>
      <c r="C117" s="96" t="s">
        <v>258</v>
      </c>
      <c r="D117" s="85" t="s">
        <v>12</v>
      </c>
      <c r="E117" s="96" t="s">
        <v>13</v>
      </c>
      <c r="F117" s="96" t="s">
        <v>24</v>
      </c>
      <c r="G117" s="85" t="s">
        <v>25</v>
      </c>
      <c r="H117" s="98">
        <v>46213</v>
      </c>
      <c r="I117" s="85">
        <v>615000</v>
      </c>
      <c r="J117" s="96">
        <v>2</v>
      </c>
      <c r="K117" s="106">
        <v>91</v>
      </c>
      <c r="L117" s="94" t="str" cm="1">
        <f t="array" ref="L117">_xlfn.IFS(J117&lt;2,"Fresher",J117&lt;=3,"Mid Level",J117&gt;3,"Experienced")</f>
        <v>Mid Level</v>
      </c>
      <c r="M117" s="90" t="str" cm="1">
        <f t="array" ref="M117">_xlfn.IFS(I117&gt;=600000,"High",I117&gt;=450000,"Medium",I117&lt;450000,"Low")</f>
        <v>High</v>
      </c>
      <c r="N117" s="94">
        <f t="shared" si="8"/>
        <v>0.02</v>
      </c>
      <c r="O117" s="92" t="str">
        <f t="shared" si="9"/>
        <v>Unique</v>
      </c>
      <c r="P117" s="94">
        <f t="shared" si="7"/>
        <v>7</v>
      </c>
    </row>
    <row r="118" spans="1:16">
      <c r="A118" s="115">
        <v>3101116</v>
      </c>
      <c r="B118" s="85" t="s">
        <v>257</v>
      </c>
      <c r="C118" s="96" t="s">
        <v>258</v>
      </c>
      <c r="D118" s="85" t="s">
        <v>12</v>
      </c>
      <c r="E118" s="96" t="s">
        <v>13</v>
      </c>
      <c r="F118" s="96" t="s">
        <v>20</v>
      </c>
      <c r="G118" s="85" t="s">
        <v>21</v>
      </c>
      <c r="H118" s="98">
        <v>46214</v>
      </c>
      <c r="I118" s="85">
        <v>535000</v>
      </c>
      <c r="J118" s="96">
        <v>2</v>
      </c>
      <c r="K118" s="106">
        <v>69</v>
      </c>
      <c r="L118" s="94" t="str" cm="1">
        <f t="array" ref="L118">_xlfn.IFS(J118&lt;2,"Fresher",J118&lt;=3,"Mid Level",J118&gt;3,"Experienced")</f>
        <v>Mid Level</v>
      </c>
      <c r="M118" s="90" t="str" cm="1">
        <f t="array" ref="M118">_xlfn.IFS(I118&gt;=600000,"High",I118&gt;=450000,"Medium",I118&lt;450000,"Low")</f>
        <v>Medium</v>
      </c>
      <c r="N118" s="94">
        <f t="shared" si="8"/>
        <v>0.05</v>
      </c>
      <c r="O118" s="92" t="str">
        <f t="shared" si="9"/>
        <v>Unique</v>
      </c>
      <c r="P118" s="94">
        <f t="shared" si="7"/>
        <v>7</v>
      </c>
    </row>
    <row r="119" spans="1:16">
      <c r="A119" s="115">
        <v>3101117</v>
      </c>
      <c r="B119" s="85" t="s">
        <v>262</v>
      </c>
      <c r="C119" s="96" t="s">
        <v>17</v>
      </c>
      <c r="D119" s="85" t="s">
        <v>12</v>
      </c>
      <c r="E119" s="96" t="s">
        <v>36</v>
      </c>
      <c r="F119" s="96" t="s">
        <v>24</v>
      </c>
      <c r="G119" s="85" t="s">
        <v>256</v>
      </c>
      <c r="H119" s="98">
        <v>46261</v>
      </c>
      <c r="I119" s="85">
        <v>885000</v>
      </c>
      <c r="J119" s="96">
        <v>3</v>
      </c>
      <c r="K119" s="106">
        <v>95</v>
      </c>
      <c r="L119" s="94" t="str" cm="1">
        <f t="array" ref="L119">_xlfn.IFS(J119&lt;2,"Fresher",J119&lt;=3,"Mid Level",J119&gt;3,"Experienced")</f>
        <v>Mid Level</v>
      </c>
      <c r="M119" s="90" t="str" cm="1">
        <f t="array" ref="M119">_xlfn.IFS(I119&gt;=600000,"High",I119&gt;=450000,"Medium",I119&lt;450000,"Low")</f>
        <v>High</v>
      </c>
      <c r="N119" s="94">
        <f t="shared" si="8"/>
        <v>0.02</v>
      </c>
      <c r="O119" s="92" t="str">
        <f t="shared" si="9"/>
        <v>Unique</v>
      </c>
      <c r="P119" s="94">
        <f t="shared" si="7"/>
        <v>8</v>
      </c>
    </row>
    <row r="120" spans="1:16">
      <c r="A120" s="115">
        <v>3101118</v>
      </c>
      <c r="B120" s="85" t="s">
        <v>294</v>
      </c>
      <c r="C120" s="96" t="s">
        <v>264</v>
      </c>
      <c r="D120" s="85" t="s">
        <v>12</v>
      </c>
      <c r="E120" s="96" t="s">
        <v>261</v>
      </c>
      <c r="F120" s="96" t="s">
        <v>14</v>
      </c>
      <c r="G120" s="85" t="s">
        <v>21</v>
      </c>
      <c r="H120" s="98">
        <v>46233</v>
      </c>
      <c r="I120" s="85">
        <v>680000</v>
      </c>
      <c r="J120" s="96">
        <v>4</v>
      </c>
      <c r="K120" s="106">
        <v>73</v>
      </c>
      <c r="L120" s="94" t="str" cm="1">
        <f t="array" ref="L120">_xlfn.IFS(J120&lt;2,"Fresher",J120&lt;=3,"Mid Level",J120&gt;3,"Experienced")</f>
        <v>Experienced</v>
      </c>
      <c r="M120" s="90" t="str" cm="1">
        <f t="array" ref="M120">_xlfn.IFS(I120&gt;=600000,"High",I120&gt;=450000,"Medium",I120&lt;450000,"Low")</f>
        <v>High</v>
      </c>
      <c r="N120" s="94">
        <f t="shared" si="8"/>
        <v>0.02</v>
      </c>
      <c r="O120" s="92" t="str">
        <f t="shared" si="9"/>
        <v>Duplicate</v>
      </c>
      <c r="P120" s="94">
        <f t="shared" si="7"/>
        <v>7</v>
      </c>
    </row>
    <row r="121" spans="1:16">
      <c r="A121" s="115">
        <v>3101119</v>
      </c>
      <c r="B121" s="85" t="s">
        <v>100</v>
      </c>
      <c r="C121" s="96" t="s">
        <v>260</v>
      </c>
      <c r="D121" s="85" t="s">
        <v>12</v>
      </c>
      <c r="E121" s="96" t="s">
        <v>261</v>
      </c>
      <c r="F121" s="96" t="s">
        <v>14</v>
      </c>
      <c r="G121" s="85" t="s">
        <v>15</v>
      </c>
      <c r="H121" s="98">
        <v>46155</v>
      </c>
      <c r="I121" s="85">
        <v>585000</v>
      </c>
      <c r="J121" s="96">
        <v>0</v>
      </c>
      <c r="K121" s="106">
        <v>84</v>
      </c>
      <c r="L121" s="94" t="str" cm="1">
        <f t="array" ref="L121">_xlfn.IFS(J121&lt;2,"Fresher",J121&lt;=3,"Mid Level",J121&gt;3,"Experienced")</f>
        <v>Fresher</v>
      </c>
      <c r="M121" s="90" t="str" cm="1">
        <f t="array" ref="M121">_xlfn.IFS(I121&gt;=600000,"High",I121&gt;=450000,"Medium",I121&lt;450000,"Low")</f>
        <v>Medium</v>
      </c>
      <c r="N121" s="94">
        <f t="shared" si="8"/>
        <v>0.02</v>
      </c>
      <c r="O121" s="92" t="str">
        <f t="shared" si="9"/>
        <v>Unique</v>
      </c>
      <c r="P121" s="94">
        <f t="shared" si="7"/>
        <v>5</v>
      </c>
    </row>
    <row r="122" spans="1:16">
      <c r="A122" s="115">
        <v>3101120</v>
      </c>
      <c r="B122" s="85" t="s">
        <v>296</v>
      </c>
      <c r="C122" s="96" t="s">
        <v>17</v>
      </c>
      <c r="D122" s="85" t="s">
        <v>28</v>
      </c>
      <c r="E122" s="96" t="s">
        <v>29</v>
      </c>
      <c r="F122" s="96" t="s">
        <v>20</v>
      </c>
      <c r="G122" s="85" t="s">
        <v>25</v>
      </c>
      <c r="H122" s="98">
        <v>46283</v>
      </c>
      <c r="I122" s="85">
        <v>345000</v>
      </c>
      <c r="J122" s="96">
        <v>0</v>
      </c>
      <c r="K122" s="106">
        <v>79</v>
      </c>
      <c r="L122" s="94" t="str" cm="1">
        <f t="array" ref="L122">_xlfn.IFS(J122&lt;2,"Fresher",J122&lt;=3,"Mid Level",J122&gt;3,"Experienced")</f>
        <v>Fresher</v>
      </c>
      <c r="M122" s="90" t="str" cm="1">
        <f t="array" ref="M122">_xlfn.IFS(I122&gt;=600000,"High",I122&gt;=450000,"Medium",I122&lt;450000,"Low")</f>
        <v>Low</v>
      </c>
      <c r="N122" s="94">
        <f t="shared" si="8"/>
        <v>0.05</v>
      </c>
      <c r="O122" s="92" t="str">
        <f t="shared" si="9"/>
        <v>Unique</v>
      </c>
      <c r="P122" s="94">
        <f t="shared" si="7"/>
        <v>9</v>
      </c>
    </row>
    <row r="123" spans="1:16">
      <c r="A123" s="115">
        <v>3101121</v>
      </c>
      <c r="B123" s="85" t="s">
        <v>252</v>
      </c>
      <c r="C123" s="96" t="s">
        <v>27</v>
      </c>
      <c r="D123" s="85" t="s">
        <v>12</v>
      </c>
      <c r="E123" s="96" t="s">
        <v>13</v>
      </c>
      <c r="F123" s="96" t="s">
        <v>14</v>
      </c>
      <c r="G123" s="85" t="s">
        <v>21</v>
      </c>
      <c r="H123" s="98">
        <v>46188</v>
      </c>
      <c r="I123" s="85">
        <v>460000</v>
      </c>
      <c r="J123" s="96">
        <v>4</v>
      </c>
      <c r="K123" s="106">
        <v>71</v>
      </c>
      <c r="L123" s="94" t="str" cm="1">
        <f t="array" ref="L123">_xlfn.IFS(J123&lt;2,"Fresher",J123&lt;=3,"Mid Level",J123&gt;3,"Experienced")</f>
        <v>Experienced</v>
      </c>
      <c r="M123" s="90" t="str" cm="1">
        <f t="array" ref="M123">_xlfn.IFS(I123&gt;=600000,"High",I123&gt;=450000,"Medium",I123&lt;450000,"Low")</f>
        <v>Medium</v>
      </c>
      <c r="N123" s="94">
        <f t="shared" si="8"/>
        <v>0.02</v>
      </c>
      <c r="O123" s="92" t="str">
        <f t="shared" si="9"/>
        <v>Unique</v>
      </c>
      <c r="P123" s="94">
        <f t="shared" si="7"/>
        <v>6</v>
      </c>
    </row>
    <row r="124" spans="1:16">
      <c r="A124" s="115">
        <v>3101122</v>
      </c>
      <c r="B124" s="85" t="s">
        <v>285</v>
      </c>
      <c r="C124" s="96" t="s">
        <v>11</v>
      </c>
      <c r="D124" s="85" t="s">
        <v>32</v>
      </c>
      <c r="E124" s="96" t="s">
        <v>300</v>
      </c>
      <c r="F124" s="96" t="s">
        <v>14</v>
      </c>
      <c r="G124" s="85" t="s">
        <v>25</v>
      </c>
      <c r="H124" s="98">
        <v>46278</v>
      </c>
      <c r="I124" s="85">
        <v>395000</v>
      </c>
      <c r="J124" s="96">
        <v>0</v>
      </c>
      <c r="K124" s="106">
        <v>89</v>
      </c>
      <c r="L124" s="94" t="str" cm="1">
        <f t="array" ref="L124">_xlfn.IFS(J124&lt;2,"Fresher",J124&lt;=3,"Mid Level",J124&gt;3,"Experienced")</f>
        <v>Fresher</v>
      </c>
      <c r="M124" s="90" t="str" cm="1">
        <f t="array" ref="M124">_xlfn.IFS(I124&gt;=600000,"High",I124&gt;=450000,"Medium",I124&lt;450000,"Low")</f>
        <v>Low</v>
      </c>
      <c r="N124" s="94">
        <f t="shared" si="8"/>
        <v>0.02</v>
      </c>
      <c r="O124" s="92" t="str">
        <f t="shared" si="9"/>
        <v>Unique</v>
      </c>
      <c r="P124" s="94">
        <f t="shared" si="7"/>
        <v>9</v>
      </c>
    </row>
    <row r="125" spans="1:16">
      <c r="A125" s="115">
        <v>3101123</v>
      </c>
      <c r="B125" s="85" t="s">
        <v>270</v>
      </c>
      <c r="C125" s="96" t="s">
        <v>27</v>
      </c>
      <c r="D125" s="85" t="s">
        <v>12</v>
      </c>
      <c r="E125" s="96" t="s">
        <v>261</v>
      </c>
      <c r="F125" s="96" t="s">
        <v>20</v>
      </c>
      <c r="G125" s="85" t="s">
        <v>21</v>
      </c>
      <c r="H125" s="98">
        <v>46264</v>
      </c>
      <c r="I125" s="85">
        <v>495000</v>
      </c>
      <c r="J125" s="96">
        <v>5</v>
      </c>
      <c r="K125" s="106">
        <v>67</v>
      </c>
      <c r="L125" s="94" t="str" cm="1">
        <f t="array" ref="L125">_xlfn.IFS(J125&lt;2,"Fresher",J125&lt;=3,"Mid Level",J125&gt;3,"Experienced")</f>
        <v>Experienced</v>
      </c>
      <c r="M125" s="90" t="str" cm="1">
        <f t="array" ref="M125">_xlfn.IFS(I125&gt;=600000,"High",I125&gt;=450000,"Medium",I125&lt;450000,"Low")</f>
        <v>Medium</v>
      </c>
      <c r="N125" s="94">
        <f t="shared" si="8"/>
        <v>0.05</v>
      </c>
      <c r="O125" s="92" t="str">
        <f t="shared" si="9"/>
        <v>Unique</v>
      </c>
      <c r="P125" s="94">
        <f t="shared" si="7"/>
        <v>8</v>
      </c>
    </row>
    <row r="126" spans="1:16">
      <c r="A126" s="115">
        <v>3101124</v>
      </c>
      <c r="B126" s="85" t="s">
        <v>26</v>
      </c>
      <c r="C126" s="96" t="s">
        <v>38</v>
      </c>
      <c r="D126" s="85" t="s">
        <v>18</v>
      </c>
      <c r="E126" s="96" t="s">
        <v>19</v>
      </c>
      <c r="F126" s="96" t="s">
        <v>34</v>
      </c>
      <c r="G126" s="85" t="s">
        <v>21</v>
      </c>
      <c r="H126" s="98">
        <v>46270</v>
      </c>
      <c r="I126" s="85">
        <v>490000</v>
      </c>
      <c r="J126" s="96">
        <v>1</v>
      </c>
      <c r="K126" s="106">
        <v>86</v>
      </c>
      <c r="L126" s="94" t="str" cm="1">
        <f t="array" ref="L126">_xlfn.IFS(J126&lt;2,"Fresher",J126&lt;=3,"Mid Level",J126&gt;3,"Experienced")</f>
        <v>Fresher</v>
      </c>
      <c r="M126" s="90" t="str" cm="1">
        <f t="array" ref="M126">_xlfn.IFS(I126&gt;=600000,"High",I126&gt;=450000,"Medium",I126&lt;450000,"Low")</f>
        <v>Medium</v>
      </c>
      <c r="N126" s="94">
        <f t="shared" si="8"/>
        <v>0.01</v>
      </c>
      <c r="O126" s="92" t="str">
        <f t="shared" si="9"/>
        <v>Unique</v>
      </c>
      <c r="P126" s="94">
        <f t="shared" si="7"/>
        <v>9</v>
      </c>
    </row>
    <row r="127" spans="1:16">
      <c r="A127" s="115">
        <v>3101125</v>
      </c>
      <c r="B127" s="85" t="s">
        <v>276</v>
      </c>
      <c r="C127" s="96" t="s">
        <v>268</v>
      </c>
      <c r="D127" s="85" t="s">
        <v>12</v>
      </c>
      <c r="E127" s="96" t="s">
        <v>265</v>
      </c>
      <c r="F127" s="96" t="s">
        <v>14</v>
      </c>
      <c r="G127" s="85" t="s">
        <v>25</v>
      </c>
      <c r="H127" s="98">
        <v>46242</v>
      </c>
      <c r="I127" s="85">
        <v>735000</v>
      </c>
      <c r="J127" s="96">
        <v>3</v>
      </c>
      <c r="K127" s="106">
        <v>92</v>
      </c>
      <c r="L127" s="94" t="str" cm="1">
        <f t="array" ref="L127">_xlfn.IFS(J127&lt;2,"Fresher",J127&lt;=3,"Mid Level",J127&gt;3,"Experienced")</f>
        <v>Mid Level</v>
      </c>
      <c r="M127" s="90" t="str" cm="1">
        <f t="array" ref="M127">_xlfn.IFS(I127&gt;=600000,"High",I127&gt;=450000,"Medium",I127&lt;450000,"Low")</f>
        <v>High</v>
      </c>
      <c r="N127" s="94">
        <f t="shared" si="8"/>
        <v>0.02</v>
      </c>
      <c r="O127" s="92" t="str">
        <f t="shared" si="9"/>
        <v>Unique</v>
      </c>
      <c r="P127" s="94">
        <f t="shared" si="7"/>
        <v>8</v>
      </c>
    </row>
    <row r="128" spans="1:16">
      <c r="A128" s="115">
        <v>3101126</v>
      </c>
      <c r="B128" s="85" t="s">
        <v>285</v>
      </c>
      <c r="C128" s="96" t="s">
        <v>268</v>
      </c>
      <c r="D128" s="85" t="s">
        <v>12</v>
      </c>
      <c r="E128" s="96" t="s">
        <v>265</v>
      </c>
      <c r="F128" s="96" t="s">
        <v>20</v>
      </c>
      <c r="G128" s="85" t="s">
        <v>25</v>
      </c>
      <c r="H128" s="98">
        <v>46280</v>
      </c>
      <c r="I128" s="85">
        <v>485000</v>
      </c>
      <c r="J128" s="96">
        <v>3</v>
      </c>
      <c r="K128" s="106">
        <v>69</v>
      </c>
      <c r="L128" s="94" t="str" cm="1">
        <f t="array" ref="L128">_xlfn.IFS(J128&lt;2,"Fresher",J128&lt;=3,"Mid Level",J128&gt;3,"Experienced")</f>
        <v>Mid Level</v>
      </c>
      <c r="M128" s="90" t="str" cm="1">
        <f t="array" ref="M128">_xlfn.IFS(I128&gt;=600000,"High",I128&gt;=450000,"Medium",I128&lt;450000,"Low")</f>
        <v>Medium</v>
      </c>
      <c r="N128" s="94">
        <f t="shared" si="8"/>
        <v>0.05</v>
      </c>
      <c r="O128" s="92" t="str">
        <f t="shared" si="9"/>
        <v>Unique</v>
      </c>
      <c r="P128" s="94">
        <f t="shared" si="7"/>
        <v>9</v>
      </c>
    </row>
    <row r="129" spans="1:16">
      <c r="A129" s="115">
        <v>3101127</v>
      </c>
      <c r="B129" s="85" t="s">
        <v>263</v>
      </c>
      <c r="C129" s="96" t="s">
        <v>38</v>
      </c>
      <c r="D129" s="85" t="s">
        <v>18</v>
      </c>
      <c r="E129" s="96" t="s">
        <v>19</v>
      </c>
      <c r="F129" s="96" t="s">
        <v>34</v>
      </c>
      <c r="G129" s="85" t="s">
        <v>21</v>
      </c>
      <c r="H129" s="98">
        <v>46255</v>
      </c>
      <c r="I129" s="85">
        <v>485000</v>
      </c>
      <c r="J129" s="96">
        <v>5</v>
      </c>
      <c r="K129" s="106">
        <v>81</v>
      </c>
      <c r="L129" s="94" t="str" cm="1">
        <f t="array" ref="L129">_xlfn.IFS(J129&lt;2,"Fresher",J129&lt;=3,"Mid Level",J129&gt;3,"Experienced")</f>
        <v>Experienced</v>
      </c>
      <c r="M129" s="90" t="str" cm="1">
        <f t="array" ref="M129">_xlfn.IFS(I129&gt;=600000,"High",I129&gt;=450000,"Medium",I129&lt;450000,"Low")</f>
        <v>Medium</v>
      </c>
      <c r="N129" s="94">
        <f t="shared" si="8"/>
        <v>0.01</v>
      </c>
      <c r="O129" s="92" t="str">
        <f t="shared" si="9"/>
        <v>Unique</v>
      </c>
      <c r="P129" s="94">
        <f t="shared" si="7"/>
        <v>8</v>
      </c>
    </row>
    <row r="130" spans="1:16">
      <c r="A130" s="115">
        <v>3101128</v>
      </c>
      <c r="B130" s="85" t="s">
        <v>277</v>
      </c>
      <c r="C130" s="96" t="s">
        <v>264</v>
      </c>
      <c r="D130" s="85" t="s">
        <v>18</v>
      </c>
      <c r="E130" s="96" t="s">
        <v>39</v>
      </c>
      <c r="F130" s="96" t="s">
        <v>24</v>
      </c>
      <c r="G130" s="85" t="s">
        <v>256</v>
      </c>
      <c r="H130" s="98">
        <v>46176</v>
      </c>
      <c r="I130" s="85">
        <v>435000</v>
      </c>
      <c r="J130" s="96">
        <v>4</v>
      </c>
      <c r="K130" s="106">
        <v>94</v>
      </c>
      <c r="L130" s="94" t="str" cm="1">
        <f t="array" ref="L130">_xlfn.IFS(J130&lt;2,"Fresher",J130&lt;=3,"Mid Level",J130&gt;3,"Experienced")</f>
        <v>Experienced</v>
      </c>
      <c r="M130" s="90" t="str" cm="1">
        <f t="array" ref="M130">_xlfn.IFS(I130&gt;=600000,"High",I130&gt;=450000,"Medium",I130&lt;450000,"Low")</f>
        <v>Low</v>
      </c>
      <c r="N130" s="94">
        <f t="shared" si="8"/>
        <v>0.02</v>
      </c>
      <c r="O130" s="92" t="str">
        <f t="shared" si="9"/>
        <v>Unique</v>
      </c>
      <c r="P130" s="94">
        <f t="shared" si="7"/>
        <v>6</v>
      </c>
    </row>
    <row r="131" spans="1:16">
      <c r="A131" s="115">
        <v>3101129</v>
      </c>
      <c r="B131" s="85" t="s">
        <v>255</v>
      </c>
      <c r="C131" s="96" t="s">
        <v>17</v>
      </c>
      <c r="D131" s="85" t="s">
        <v>18</v>
      </c>
      <c r="E131" s="96" t="s">
        <v>19</v>
      </c>
      <c r="F131" s="96" t="s">
        <v>24</v>
      </c>
      <c r="G131" s="85" t="s">
        <v>21</v>
      </c>
      <c r="H131" s="98">
        <v>46173</v>
      </c>
      <c r="I131" s="85">
        <v>430000</v>
      </c>
      <c r="J131" s="96">
        <v>0</v>
      </c>
      <c r="K131" s="106">
        <v>77</v>
      </c>
      <c r="L131" s="94" t="str" cm="1">
        <f t="array" ref="L131">_xlfn.IFS(J131&lt;2,"Fresher",J131&lt;=3,"Mid Level",J131&gt;3,"Experienced")</f>
        <v>Fresher</v>
      </c>
      <c r="M131" s="90" t="str" cm="1">
        <f t="array" ref="M131">_xlfn.IFS(I131&gt;=600000,"High",I131&gt;=450000,"Medium",I131&lt;450000,"Low")</f>
        <v>Low</v>
      </c>
      <c r="N131" s="94">
        <f t="shared" si="8"/>
        <v>0.02</v>
      </c>
      <c r="O131" s="92" t="str">
        <f t="shared" si="9"/>
        <v>Unique</v>
      </c>
      <c r="P131" s="94">
        <f t="shared" ref="P131:P194" si="10">MONTH(H131)</f>
        <v>5</v>
      </c>
    </row>
    <row r="132" spans="1:16">
      <c r="A132" s="115">
        <v>3101130</v>
      </c>
      <c r="B132" s="85" t="s">
        <v>26</v>
      </c>
      <c r="C132" s="96" t="s">
        <v>11</v>
      </c>
      <c r="D132" s="85" t="s">
        <v>12</v>
      </c>
      <c r="E132" s="96" t="s">
        <v>265</v>
      </c>
      <c r="F132" s="96" t="s">
        <v>24</v>
      </c>
      <c r="G132" s="85" t="s">
        <v>15</v>
      </c>
      <c r="H132" s="98">
        <v>46188</v>
      </c>
      <c r="I132" s="85">
        <v>570000</v>
      </c>
      <c r="J132" s="96">
        <v>4</v>
      </c>
      <c r="K132" s="106">
        <v>72</v>
      </c>
      <c r="L132" s="94" t="str" cm="1">
        <f t="array" ref="L132">_xlfn.IFS(J132&lt;2,"Fresher",J132&lt;=3,"Mid Level",J132&gt;3,"Experienced")</f>
        <v>Experienced</v>
      </c>
      <c r="M132" s="90" t="str" cm="1">
        <f t="array" ref="M132">_xlfn.IFS(I132&gt;=600000,"High",I132&gt;=450000,"Medium",I132&lt;450000,"Low")</f>
        <v>Medium</v>
      </c>
      <c r="N132" s="94">
        <f t="shared" ref="N132:N195" si="11">IF(F132="Naukri",2%,IF(F132="LinkedIn",2%,IF(F132="Employee Referral",5%,1%)))</f>
        <v>0.02</v>
      </c>
      <c r="O132" s="92" t="str">
        <f t="shared" ref="O132:O195" si="12">IF(COUNTIF($A$2:$A$478,A132)&gt;1,"Duplicate","Unique")</f>
        <v>Unique</v>
      </c>
      <c r="P132" s="94">
        <f t="shared" si="10"/>
        <v>6</v>
      </c>
    </row>
    <row r="133" spans="1:16">
      <c r="A133" s="115">
        <v>3101131</v>
      </c>
      <c r="B133" s="85" t="s">
        <v>253</v>
      </c>
      <c r="C133" s="96" t="s">
        <v>17</v>
      </c>
      <c r="D133" s="85" t="s">
        <v>12</v>
      </c>
      <c r="E133" s="96" t="s">
        <v>261</v>
      </c>
      <c r="F133" s="96" t="s">
        <v>24</v>
      </c>
      <c r="G133" s="85" t="s">
        <v>256</v>
      </c>
      <c r="H133" s="98">
        <v>46154</v>
      </c>
      <c r="I133" s="85">
        <v>645000</v>
      </c>
      <c r="J133" s="96">
        <v>1</v>
      </c>
      <c r="K133" s="106">
        <v>90</v>
      </c>
      <c r="L133" s="94" t="str" cm="1">
        <f t="array" ref="L133">_xlfn.IFS(J133&lt;2,"Fresher",J133&lt;=3,"Mid Level",J133&gt;3,"Experienced")</f>
        <v>Fresher</v>
      </c>
      <c r="M133" s="90" t="str" cm="1">
        <f t="array" ref="M133">_xlfn.IFS(I133&gt;=600000,"High",I133&gt;=450000,"Medium",I133&lt;450000,"Low")</f>
        <v>High</v>
      </c>
      <c r="N133" s="94">
        <f t="shared" si="11"/>
        <v>0.02</v>
      </c>
      <c r="O133" s="92" t="str">
        <f t="shared" si="12"/>
        <v>Unique</v>
      </c>
      <c r="P133" s="94">
        <f t="shared" si="10"/>
        <v>5</v>
      </c>
    </row>
    <row r="134" spans="1:16">
      <c r="A134" s="115">
        <v>3101132</v>
      </c>
      <c r="B134" s="85" t="s">
        <v>254</v>
      </c>
      <c r="C134" s="96" t="s">
        <v>268</v>
      </c>
      <c r="D134" s="85" t="s">
        <v>18</v>
      </c>
      <c r="E134" s="96" t="s">
        <v>19</v>
      </c>
      <c r="F134" s="96" t="s">
        <v>14</v>
      </c>
      <c r="G134" s="85" t="s">
        <v>21</v>
      </c>
      <c r="H134" s="98">
        <v>46264</v>
      </c>
      <c r="I134" s="85">
        <v>500000</v>
      </c>
      <c r="J134" s="96">
        <v>4</v>
      </c>
      <c r="K134" s="106">
        <v>74</v>
      </c>
      <c r="L134" s="94" t="str" cm="1">
        <f t="array" ref="L134">_xlfn.IFS(J134&lt;2,"Fresher",J134&lt;=3,"Mid Level",J134&gt;3,"Experienced")</f>
        <v>Experienced</v>
      </c>
      <c r="M134" s="90" t="str" cm="1">
        <f t="array" ref="M134">_xlfn.IFS(I134&gt;=600000,"High",I134&gt;=450000,"Medium",I134&lt;450000,"Low")</f>
        <v>Medium</v>
      </c>
      <c r="N134" s="94">
        <f t="shared" si="11"/>
        <v>0.02</v>
      </c>
      <c r="O134" s="92" t="str">
        <f t="shared" si="12"/>
        <v>Unique</v>
      </c>
      <c r="P134" s="94">
        <f t="shared" si="10"/>
        <v>8</v>
      </c>
    </row>
    <row r="135" spans="1:16">
      <c r="A135" s="115">
        <v>3101133</v>
      </c>
      <c r="B135" s="85" t="s">
        <v>274</v>
      </c>
      <c r="C135" s="96" t="s">
        <v>38</v>
      </c>
      <c r="D135" s="85" t="s">
        <v>32</v>
      </c>
      <c r="E135" s="96" t="s">
        <v>33</v>
      </c>
      <c r="F135" s="96" t="s">
        <v>20</v>
      </c>
      <c r="G135" s="85" t="s">
        <v>15</v>
      </c>
      <c r="H135" s="98">
        <v>46168</v>
      </c>
      <c r="I135" s="85">
        <v>300000</v>
      </c>
      <c r="J135" s="96">
        <v>1</v>
      </c>
      <c r="K135" s="106">
        <v>85</v>
      </c>
      <c r="L135" s="94" t="str" cm="1">
        <f t="array" ref="L135">_xlfn.IFS(J135&lt;2,"Fresher",J135&lt;=3,"Mid Level",J135&gt;3,"Experienced")</f>
        <v>Fresher</v>
      </c>
      <c r="M135" s="90" t="str" cm="1">
        <f t="array" ref="M135">_xlfn.IFS(I135&gt;=600000,"High",I135&gt;=450000,"Medium",I135&lt;450000,"Low")</f>
        <v>Low</v>
      </c>
      <c r="N135" s="94">
        <f t="shared" si="11"/>
        <v>0.05</v>
      </c>
      <c r="O135" s="92" t="str">
        <f t="shared" si="12"/>
        <v>Unique</v>
      </c>
      <c r="P135" s="94">
        <f t="shared" si="10"/>
        <v>5</v>
      </c>
    </row>
    <row r="136" spans="1:16">
      <c r="A136" s="115">
        <v>3101134</v>
      </c>
      <c r="B136" s="85" t="s">
        <v>271</v>
      </c>
      <c r="C136" s="96" t="s">
        <v>38</v>
      </c>
      <c r="D136" s="85" t="s">
        <v>12</v>
      </c>
      <c r="E136" s="96" t="s">
        <v>13</v>
      </c>
      <c r="F136" s="96" t="s">
        <v>34</v>
      </c>
      <c r="G136" s="85" t="s">
        <v>25</v>
      </c>
      <c r="H136" s="98">
        <v>46156</v>
      </c>
      <c r="I136" s="85">
        <v>460000</v>
      </c>
      <c r="J136" s="96">
        <v>3</v>
      </c>
      <c r="K136" s="106">
        <v>94</v>
      </c>
      <c r="L136" s="94" t="str" cm="1">
        <f t="array" ref="L136">_xlfn.IFS(J136&lt;2,"Fresher",J136&lt;=3,"Mid Level",J136&gt;3,"Experienced")</f>
        <v>Mid Level</v>
      </c>
      <c r="M136" s="90" t="str" cm="1">
        <f t="array" ref="M136">_xlfn.IFS(I136&gt;=600000,"High",I136&gt;=450000,"Medium",I136&lt;450000,"Low")</f>
        <v>Medium</v>
      </c>
      <c r="N136" s="94">
        <f t="shared" si="11"/>
        <v>0.01</v>
      </c>
      <c r="O136" s="92" t="str">
        <f t="shared" si="12"/>
        <v>Unique</v>
      </c>
      <c r="P136" s="94">
        <f t="shared" si="10"/>
        <v>5</v>
      </c>
    </row>
    <row r="137" spans="1:16">
      <c r="A137" s="115">
        <v>3101135</v>
      </c>
      <c r="B137" s="85" t="s">
        <v>284</v>
      </c>
      <c r="C137" s="96" t="s">
        <v>27</v>
      </c>
      <c r="D137" s="85" t="s">
        <v>18</v>
      </c>
      <c r="E137" s="96" t="s">
        <v>19</v>
      </c>
      <c r="F137" s="96" t="s">
        <v>24</v>
      </c>
      <c r="G137" s="85" t="s">
        <v>21</v>
      </c>
      <c r="H137" s="98">
        <v>46158</v>
      </c>
      <c r="I137" s="85">
        <v>410000</v>
      </c>
      <c r="J137" s="96">
        <v>4</v>
      </c>
      <c r="K137" s="106">
        <v>68</v>
      </c>
      <c r="L137" s="94" t="str" cm="1">
        <f t="array" ref="L137">_xlfn.IFS(J137&lt;2,"Fresher",J137&lt;=3,"Mid Level",J137&gt;3,"Experienced")</f>
        <v>Experienced</v>
      </c>
      <c r="M137" s="90" t="str" cm="1">
        <f t="array" ref="M137">_xlfn.IFS(I137&gt;=600000,"High",I137&gt;=450000,"Medium",I137&lt;450000,"Low")</f>
        <v>Low</v>
      </c>
      <c r="N137" s="94">
        <f t="shared" si="11"/>
        <v>0.02</v>
      </c>
      <c r="O137" s="92" t="str">
        <f t="shared" si="12"/>
        <v>Unique</v>
      </c>
      <c r="P137" s="94">
        <f t="shared" si="10"/>
        <v>5</v>
      </c>
    </row>
    <row r="138" spans="1:16">
      <c r="A138" s="115">
        <v>3101136</v>
      </c>
      <c r="B138" s="85" t="s">
        <v>272</v>
      </c>
      <c r="C138" s="96" t="s">
        <v>258</v>
      </c>
      <c r="D138" s="85" t="s">
        <v>28</v>
      </c>
      <c r="E138" s="96" t="s">
        <v>297</v>
      </c>
      <c r="F138" s="96" t="s">
        <v>14</v>
      </c>
      <c r="G138" s="85" t="s">
        <v>21</v>
      </c>
      <c r="H138" s="98">
        <v>46148</v>
      </c>
      <c r="I138" s="85">
        <v>500000</v>
      </c>
      <c r="J138" s="96">
        <v>3</v>
      </c>
      <c r="K138" s="106">
        <v>87</v>
      </c>
      <c r="L138" s="94" t="str" cm="1">
        <f t="array" ref="L138">_xlfn.IFS(J138&lt;2,"Fresher",J138&lt;=3,"Mid Level",J138&gt;3,"Experienced")</f>
        <v>Mid Level</v>
      </c>
      <c r="M138" s="90" t="str" cm="1">
        <f t="array" ref="M138">_xlfn.IFS(I138&gt;=600000,"High",I138&gt;=450000,"Medium",I138&lt;450000,"Low")</f>
        <v>Medium</v>
      </c>
      <c r="N138" s="94">
        <f t="shared" si="11"/>
        <v>0.02</v>
      </c>
      <c r="O138" s="92" t="str">
        <f t="shared" si="12"/>
        <v>Unique</v>
      </c>
      <c r="P138" s="94">
        <f t="shared" si="10"/>
        <v>5</v>
      </c>
    </row>
    <row r="139" spans="1:16">
      <c r="A139" s="115">
        <v>3101137</v>
      </c>
      <c r="B139" s="85" t="s">
        <v>281</v>
      </c>
      <c r="C139" s="96" t="s">
        <v>268</v>
      </c>
      <c r="D139" s="85" t="s">
        <v>32</v>
      </c>
      <c r="E139" s="96" t="s">
        <v>33</v>
      </c>
      <c r="F139" s="96" t="s">
        <v>24</v>
      </c>
      <c r="G139" s="85" t="s">
        <v>15</v>
      </c>
      <c r="H139" s="98">
        <v>46187</v>
      </c>
      <c r="I139" s="85">
        <v>340000</v>
      </c>
      <c r="J139" s="96">
        <v>4</v>
      </c>
      <c r="K139" s="106">
        <v>82</v>
      </c>
      <c r="L139" s="94" t="str" cm="1">
        <f t="array" ref="L139">_xlfn.IFS(J139&lt;2,"Fresher",J139&lt;=3,"Mid Level",J139&gt;3,"Experienced")</f>
        <v>Experienced</v>
      </c>
      <c r="M139" s="90" t="str" cm="1">
        <f t="array" ref="M139">_xlfn.IFS(I139&gt;=600000,"High",I139&gt;=450000,"Medium",I139&lt;450000,"Low")</f>
        <v>Low</v>
      </c>
      <c r="N139" s="94">
        <f t="shared" si="11"/>
        <v>0.02</v>
      </c>
      <c r="O139" s="92" t="str">
        <f t="shared" si="12"/>
        <v>Unique</v>
      </c>
      <c r="P139" s="94">
        <f t="shared" si="10"/>
        <v>6</v>
      </c>
    </row>
    <row r="140" spans="1:16">
      <c r="A140" s="115">
        <v>3101138</v>
      </c>
      <c r="B140" s="85" t="s">
        <v>282</v>
      </c>
      <c r="C140" s="96" t="s">
        <v>258</v>
      </c>
      <c r="D140" s="85" t="s">
        <v>12</v>
      </c>
      <c r="E140" s="96" t="s">
        <v>261</v>
      </c>
      <c r="F140" s="96" t="s">
        <v>24</v>
      </c>
      <c r="G140" s="85" t="s">
        <v>21</v>
      </c>
      <c r="H140" s="98">
        <v>46149</v>
      </c>
      <c r="I140" s="85">
        <v>440000</v>
      </c>
      <c r="J140" s="96">
        <v>2</v>
      </c>
      <c r="K140" s="106">
        <v>76</v>
      </c>
      <c r="L140" s="94" t="str" cm="1">
        <f t="array" ref="L140">_xlfn.IFS(J140&lt;2,"Fresher",J140&lt;=3,"Mid Level",J140&gt;3,"Experienced")</f>
        <v>Mid Level</v>
      </c>
      <c r="M140" s="90" t="str" cm="1">
        <f t="array" ref="M140">_xlfn.IFS(I140&gt;=600000,"High",I140&gt;=450000,"Medium",I140&lt;450000,"Low")</f>
        <v>Low</v>
      </c>
      <c r="N140" s="94">
        <f t="shared" si="11"/>
        <v>0.02</v>
      </c>
      <c r="O140" s="92" t="str">
        <f t="shared" si="12"/>
        <v>Unique</v>
      </c>
      <c r="P140" s="94">
        <f t="shared" si="10"/>
        <v>5</v>
      </c>
    </row>
    <row r="141" spans="1:16">
      <c r="A141" s="115">
        <v>3101139</v>
      </c>
      <c r="B141" s="85" t="s">
        <v>275</v>
      </c>
      <c r="C141" s="96" t="s">
        <v>38</v>
      </c>
      <c r="D141" s="85" t="s">
        <v>28</v>
      </c>
      <c r="E141" s="96" t="s">
        <v>297</v>
      </c>
      <c r="F141" s="96" t="s">
        <v>24</v>
      </c>
      <c r="G141" s="85" t="s">
        <v>25</v>
      </c>
      <c r="H141" s="98">
        <v>46227</v>
      </c>
      <c r="I141" s="85">
        <v>535000</v>
      </c>
      <c r="J141" s="96">
        <v>1</v>
      </c>
      <c r="K141" s="106">
        <v>88</v>
      </c>
      <c r="L141" s="94" t="str" cm="1">
        <f t="array" ref="L141">_xlfn.IFS(J141&lt;2,"Fresher",J141&lt;=3,"Mid Level",J141&gt;3,"Experienced")</f>
        <v>Fresher</v>
      </c>
      <c r="M141" s="90" t="str" cm="1">
        <f t="array" ref="M141">_xlfn.IFS(I141&gt;=600000,"High",I141&gt;=450000,"Medium",I141&lt;450000,"Low")</f>
        <v>Medium</v>
      </c>
      <c r="N141" s="94">
        <f t="shared" si="11"/>
        <v>0.02</v>
      </c>
      <c r="O141" s="92" t="str">
        <f t="shared" si="12"/>
        <v>Unique</v>
      </c>
      <c r="P141" s="94">
        <f t="shared" si="10"/>
        <v>7</v>
      </c>
    </row>
    <row r="142" spans="1:16">
      <c r="A142" s="115">
        <v>3101140</v>
      </c>
      <c r="B142" s="85" t="s">
        <v>254</v>
      </c>
      <c r="C142" s="96" t="s">
        <v>27</v>
      </c>
      <c r="D142" s="85" t="s">
        <v>12</v>
      </c>
      <c r="E142" s="96" t="s">
        <v>13</v>
      </c>
      <c r="F142" s="96" t="s">
        <v>20</v>
      </c>
      <c r="G142" s="85" t="s">
        <v>15</v>
      </c>
      <c r="H142" s="98">
        <v>46272</v>
      </c>
      <c r="I142" s="85">
        <v>510000</v>
      </c>
      <c r="J142" s="96">
        <v>5</v>
      </c>
      <c r="K142" s="106">
        <v>91</v>
      </c>
      <c r="L142" s="94" t="str" cm="1">
        <f t="array" ref="L142">_xlfn.IFS(J142&lt;2,"Fresher",J142&lt;=3,"Mid Level",J142&gt;3,"Experienced")</f>
        <v>Experienced</v>
      </c>
      <c r="M142" s="90" t="str" cm="1">
        <f t="array" ref="M142">_xlfn.IFS(I142&gt;=600000,"High",I142&gt;=450000,"Medium",I142&lt;450000,"Low")</f>
        <v>Medium</v>
      </c>
      <c r="N142" s="94">
        <f t="shared" si="11"/>
        <v>0.05</v>
      </c>
      <c r="O142" s="92" t="str">
        <f t="shared" si="12"/>
        <v>Unique</v>
      </c>
      <c r="P142" s="94">
        <f t="shared" si="10"/>
        <v>9</v>
      </c>
    </row>
    <row r="143" spans="1:16">
      <c r="A143" s="115">
        <v>3101141</v>
      </c>
      <c r="B143" s="85" t="s">
        <v>282</v>
      </c>
      <c r="C143" s="96" t="s">
        <v>264</v>
      </c>
      <c r="D143" s="85" t="s">
        <v>12</v>
      </c>
      <c r="E143" s="96" t="s">
        <v>23</v>
      </c>
      <c r="F143" s="96" t="s">
        <v>14</v>
      </c>
      <c r="G143" s="85" t="s">
        <v>25</v>
      </c>
      <c r="H143" s="98">
        <v>46205</v>
      </c>
      <c r="I143" s="85">
        <v>660000</v>
      </c>
      <c r="J143" s="96">
        <v>0</v>
      </c>
      <c r="K143" s="106">
        <v>69</v>
      </c>
      <c r="L143" s="94" t="str" cm="1">
        <f t="array" ref="L143">_xlfn.IFS(J143&lt;2,"Fresher",J143&lt;=3,"Mid Level",J143&gt;3,"Experienced")</f>
        <v>Fresher</v>
      </c>
      <c r="M143" s="90" t="str" cm="1">
        <f t="array" ref="M143">_xlfn.IFS(I143&gt;=600000,"High",I143&gt;=450000,"Medium",I143&lt;450000,"Low")</f>
        <v>High</v>
      </c>
      <c r="N143" s="94">
        <f t="shared" si="11"/>
        <v>0.02</v>
      </c>
      <c r="O143" s="92" t="str">
        <f t="shared" si="12"/>
        <v>Unique</v>
      </c>
      <c r="P143" s="94">
        <f t="shared" si="10"/>
        <v>7</v>
      </c>
    </row>
    <row r="144" spans="1:16">
      <c r="A144" s="115">
        <v>3101142</v>
      </c>
      <c r="B144" s="85" t="s">
        <v>293</v>
      </c>
      <c r="C144" s="96" t="s">
        <v>260</v>
      </c>
      <c r="D144" s="85" t="s">
        <v>18</v>
      </c>
      <c r="E144" s="96" t="s">
        <v>39</v>
      </c>
      <c r="F144" s="96" t="s">
        <v>24</v>
      </c>
      <c r="G144" s="85" t="s">
        <v>21</v>
      </c>
      <c r="H144" s="98">
        <v>46281</v>
      </c>
      <c r="I144" s="85">
        <v>325000</v>
      </c>
      <c r="J144" s="96">
        <v>0</v>
      </c>
      <c r="K144" s="106">
        <v>95</v>
      </c>
      <c r="L144" s="94" t="str" cm="1">
        <f t="array" ref="L144">_xlfn.IFS(J144&lt;2,"Fresher",J144&lt;=3,"Mid Level",J144&gt;3,"Experienced")</f>
        <v>Fresher</v>
      </c>
      <c r="M144" s="90" t="str" cm="1">
        <f t="array" ref="M144">_xlfn.IFS(I144&gt;=600000,"High",I144&gt;=450000,"Medium",I144&lt;450000,"Low")</f>
        <v>Low</v>
      </c>
      <c r="N144" s="94">
        <f t="shared" si="11"/>
        <v>0.02</v>
      </c>
      <c r="O144" s="92" t="str">
        <f t="shared" si="12"/>
        <v>Unique</v>
      </c>
      <c r="P144" s="94">
        <f t="shared" si="10"/>
        <v>9</v>
      </c>
    </row>
    <row r="145" spans="1:16">
      <c r="A145" s="115">
        <v>3101143</v>
      </c>
      <c r="B145" s="85" t="s">
        <v>282</v>
      </c>
      <c r="C145" s="96" t="s">
        <v>27</v>
      </c>
      <c r="D145" s="85" t="s">
        <v>32</v>
      </c>
      <c r="E145" s="96" t="s">
        <v>300</v>
      </c>
      <c r="F145" s="96" t="s">
        <v>20</v>
      </c>
      <c r="G145" s="85" t="s">
        <v>25</v>
      </c>
      <c r="H145" s="98">
        <v>46207</v>
      </c>
      <c r="I145" s="85">
        <v>355000</v>
      </c>
      <c r="J145" s="96">
        <v>5</v>
      </c>
      <c r="K145" s="106">
        <v>73</v>
      </c>
      <c r="L145" s="94" t="str" cm="1">
        <f t="array" ref="L145">_xlfn.IFS(J145&lt;2,"Fresher",J145&lt;=3,"Mid Level",J145&gt;3,"Experienced")</f>
        <v>Experienced</v>
      </c>
      <c r="M145" s="90" t="str" cm="1">
        <f t="array" ref="M145">_xlfn.IFS(I145&gt;=600000,"High",I145&gt;=450000,"Medium",I145&lt;450000,"Low")</f>
        <v>Low</v>
      </c>
      <c r="N145" s="94">
        <f t="shared" si="11"/>
        <v>0.05</v>
      </c>
      <c r="O145" s="92" t="str">
        <f t="shared" si="12"/>
        <v>Unique</v>
      </c>
      <c r="P145" s="94">
        <f t="shared" si="10"/>
        <v>7</v>
      </c>
    </row>
    <row r="146" spans="1:16">
      <c r="A146" s="115">
        <v>3101144</v>
      </c>
      <c r="B146" s="85" t="s">
        <v>169</v>
      </c>
      <c r="C146" s="96" t="s">
        <v>268</v>
      </c>
      <c r="D146" s="85" t="s">
        <v>12</v>
      </c>
      <c r="E146" s="96" t="s">
        <v>23</v>
      </c>
      <c r="F146" s="96" t="s">
        <v>14</v>
      </c>
      <c r="G146" s="85" t="s">
        <v>15</v>
      </c>
      <c r="H146" s="98">
        <v>46280</v>
      </c>
      <c r="I146" s="85">
        <v>510000</v>
      </c>
      <c r="J146" s="96">
        <v>2</v>
      </c>
      <c r="K146" s="106">
        <v>84</v>
      </c>
      <c r="L146" s="94" t="str" cm="1">
        <f t="array" ref="L146">_xlfn.IFS(J146&lt;2,"Fresher",J146&lt;=3,"Mid Level",J146&gt;3,"Experienced")</f>
        <v>Mid Level</v>
      </c>
      <c r="M146" s="90" t="str" cm="1">
        <f t="array" ref="M146">_xlfn.IFS(I146&gt;=600000,"High",I146&gt;=450000,"Medium",I146&lt;450000,"Low")</f>
        <v>Medium</v>
      </c>
      <c r="N146" s="94">
        <f t="shared" si="11"/>
        <v>0.02</v>
      </c>
      <c r="O146" s="92" t="str">
        <f t="shared" si="12"/>
        <v>Unique</v>
      </c>
      <c r="P146" s="94">
        <f t="shared" si="10"/>
        <v>9</v>
      </c>
    </row>
    <row r="147" spans="1:16">
      <c r="A147" s="115">
        <v>3101145</v>
      </c>
      <c r="B147" s="85" t="s">
        <v>307</v>
      </c>
      <c r="C147" s="96" t="s">
        <v>260</v>
      </c>
      <c r="D147" s="85" t="s">
        <v>12</v>
      </c>
      <c r="E147" s="96" t="s">
        <v>13</v>
      </c>
      <c r="F147" s="96" t="s">
        <v>20</v>
      </c>
      <c r="G147" s="85" t="s">
        <v>25</v>
      </c>
      <c r="H147" s="98">
        <v>46183</v>
      </c>
      <c r="I147" s="85">
        <v>580000</v>
      </c>
      <c r="J147" s="96">
        <v>3</v>
      </c>
      <c r="K147" s="106">
        <v>79</v>
      </c>
      <c r="L147" s="94" t="str" cm="1">
        <f t="array" ref="L147">_xlfn.IFS(J147&lt;2,"Fresher",J147&lt;=3,"Mid Level",J147&gt;3,"Experienced")</f>
        <v>Mid Level</v>
      </c>
      <c r="M147" s="90" t="str" cm="1">
        <f t="array" ref="M147">_xlfn.IFS(I147&gt;=600000,"High",I147&gt;=450000,"Medium",I147&lt;450000,"Low")</f>
        <v>Medium</v>
      </c>
      <c r="N147" s="94">
        <f t="shared" si="11"/>
        <v>0.05</v>
      </c>
      <c r="O147" s="92" t="str">
        <f t="shared" si="12"/>
        <v>Unique</v>
      </c>
      <c r="P147" s="94">
        <f t="shared" si="10"/>
        <v>6</v>
      </c>
    </row>
    <row r="148" spans="1:16">
      <c r="A148" s="115">
        <v>3101146</v>
      </c>
      <c r="B148" s="85" t="s">
        <v>280</v>
      </c>
      <c r="C148" s="96" t="s">
        <v>268</v>
      </c>
      <c r="D148" s="85" t="s">
        <v>18</v>
      </c>
      <c r="E148" s="96" t="s">
        <v>39</v>
      </c>
      <c r="F148" s="96" t="s">
        <v>14</v>
      </c>
      <c r="G148" s="85" t="s">
        <v>15</v>
      </c>
      <c r="H148" s="98">
        <v>46228</v>
      </c>
      <c r="I148" s="85">
        <v>340000</v>
      </c>
      <c r="J148" s="96">
        <v>3</v>
      </c>
      <c r="K148" s="106">
        <v>71</v>
      </c>
      <c r="L148" s="94" t="str" cm="1">
        <f t="array" ref="L148">_xlfn.IFS(J148&lt;2,"Fresher",J148&lt;=3,"Mid Level",J148&gt;3,"Experienced")</f>
        <v>Mid Level</v>
      </c>
      <c r="M148" s="90" t="str" cm="1">
        <f t="array" ref="M148">_xlfn.IFS(I148&gt;=600000,"High",I148&gt;=450000,"Medium",I148&lt;450000,"Low")</f>
        <v>Low</v>
      </c>
      <c r="N148" s="94">
        <f t="shared" si="11"/>
        <v>0.02</v>
      </c>
      <c r="O148" s="92" t="str">
        <f t="shared" si="12"/>
        <v>Unique</v>
      </c>
      <c r="P148" s="94">
        <f t="shared" si="10"/>
        <v>7</v>
      </c>
    </row>
    <row r="149" spans="1:16">
      <c r="A149" s="115">
        <v>3101147</v>
      </c>
      <c r="B149" s="85" t="s">
        <v>309</v>
      </c>
      <c r="C149" s="96" t="s">
        <v>260</v>
      </c>
      <c r="D149" s="85" t="s">
        <v>28</v>
      </c>
      <c r="E149" s="96" t="s">
        <v>297</v>
      </c>
      <c r="F149" s="96" t="s">
        <v>20</v>
      </c>
      <c r="G149" s="85" t="s">
        <v>25</v>
      </c>
      <c r="H149" s="98">
        <v>46221</v>
      </c>
      <c r="I149" s="85">
        <v>520000</v>
      </c>
      <c r="J149" s="96">
        <v>2</v>
      </c>
      <c r="K149" s="106">
        <v>89</v>
      </c>
      <c r="L149" s="94" t="str" cm="1">
        <f t="array" ref="L149">_xlfn.IFS(J149&lt;2,"Fresher",J149&lt;=3,"Mid Level",J149&gt;3,"Experienced")</f>
        <v>Mid Level</v>
      </c>
      <c r="M149" s="90" t="str" cm="1">
        <f t="array" ref="M149">_xlfn.IFS(I149&gt;=600000,"High",I149&gt;=450000,"Medium",I149&lt;450000,"Low")</f>
        <v>Medium</v>
      </c>
      <c r="N149" s="94">
        <f t="shared" si="11"/>
        <v>0.05</v>
      </c>
      <c r="O149" s="92" t="str">
        <f t="shared" si="12"/>
        <v>Unique</v>
      </c>
      <c r="P149" s="94">
        <f t="shared" si="10"/>
        <v>7</v>
      </c>
    </row>
    <row r="150" spans="1:16">
      <c r="A150" s="115">
        <v>3101148</v>
      </c>
      <c r="B150" s="85" t="s">
        <v>307</v>
      </c>
      <c r="C150" s="96" t="s">
        <v>268</v>
      </c>
      <c r="D150" s="85" t="s">
        <v>12</v>
      </c>
      <c r="E150" s="96" t="s">
        <v>261</v>
      </c>
      <c r="F150" s="96" t="s">
        <v>34</v>
      </c>
      <c r="G150" s="85" t="s">
        <v>256</v>
      </c>
      <c r="H150" s="98">
        <v>46171</v>
      </c>
      <c r="I150" s="85">
        <v>595000</v>
      </c>
      <c r="J150" s="96">
        <v>4</v>
      </c>
      <c r="K150" s="106">
        <v>67</v>
      </c>
      <c r="L150" s="94" t="str" cm="1">
        <f t="array" ref="L150">_xlfn.IFS(J150&lt;2,"Fresher",J150&lt;=3,"Mid Level",J150&gt;3,"Experienced")</f>
        <v>Experienced</v>
      </c>
      <c r="M150" s="90" t="str" cm="1">
        <f t="array" ref="M150">_xlfn.IFS(I150&gt;=600000,"High",I150&gt;=450000,"Medium",I150&lt;450000,"Low")</f>
        <v>Medium</v>
      </c>
      <c r="N150" s="94">
        <f t="shared" si="11"/>
        <v>0.01</v>
      </c>
      <c r="O150" s="92" t="str">
        <f t="shared" si="12"/>
        <v>Unique</v>
      </c>
      <c r="P150" s="94">
        <f t="shared" si="10"/>
        <v>5</v>
      </c>
    </row>
    <row r="151" spans="1:16">
      <c r="A151" s="115">
        <v>3101149</v>
      </c>
      <c r="B151" s="85" t="s">
        <v>277</v>
      </c>
      <c r="C151" s="96" t="s">
        <v>38</v>
      </c>
      <c r="D151" s="85" t="s">
        <v>12</v>
      </c>
      <c r="E151" s="96" t="s">
        <v>265</v>
      </c>
      <c r="F151" s="96" t="s">
        <v>34</v>
      </c>
      <c r="G151" s="85" t="s">
        <v>25</v>
      </c>
      <c r="H151" s="98">
        <v>46248</v>
      </c>
      <c r="I151" s="85">
        <v>605000</v>
      </c>
      <c r="J151" s="96">
        <v>1</v>
      </c>
      <c r="K151" s="106">
        <v>86</v>
      </c>
      <c r="L151" s="94" t="str" cm="1">
        <f t="array" ref="L151">_xlfn.IFS(J151&lt;2,"Fresher",J151&lt;=3,"Mid Level",J151&gt;3,"Experienced")</f>
        <v>Fresher</v>
      </c>
      <c r="M151" s="90" t="str" cm="1">
        <f t="array" ref="M151">_xlfn.IFS(I151&gt;=600000,"High",I151&gt;=450000,"Medium",I151&lt;450000,"Low")</f>
        <v>High</v>
      </c>
      <c r="N151" s="94">
        <f t="shared" si="11"/>
        <v>0.01</v>
      </c>
      <c r="O151" s="92" t="str">
        <f t="shared" si="12"/>
        <v>Unique</v>
      </c>
      <c r="P151" s="94">
        <f t="shared" si="10"/>
        <v>8</v>
      </c>
    </row>
    <row r="152" spans="1:16">
      <c r="A152" s="115">
        <v>3101150</v>
      </c>
      <c r="B152" s="85" t="s">
        <v>45</v>
      </c>
      <c r="C152" s="96" t="s">
        <v>17</v>
      </c>
      <c r="D152" s="85" t="s">
        <v>12</v>
      </c>
      <c r="E152" s="96" t="s">
        <v>265</v>
      </c>
      <c r="F152" s="96" t="s">
        <v>20</v>
      </c>
      <c r="G152" s="85" t="s">
        <v>15</v>
      </c>
      <c r="H152" s="98">
        <v>46230</v>
      </c>
      <c r="I152" s="85">
        <v>740000</v>
      </c>
      <c r="J152" s="96">
        <v>5</v>
      </c>
      <c r="K152" s="106">
        <v>92</v>
      </c>
      <c r="L152" s="94" t="str" cm="1">
        <f t="array" ref="L152">_xlfn.IFS(J152&lt;2,"Fresher",J152&lt;=3,"Mid Level",J152&gt;3,"Experienced")</f>
        <v>Experienced</v>
      </c>
      <c r="M152" s="90" t="str" cm="1">
        <f t="array" ref="M152">_xlfn.IFS(I152&gt;=600000,"High",I152&gt;=450000,"Medium",I152&lt;450000,"Low")</f>
        <v>High</v>
      </c>
      <c r="N152" s="94">
        <f t="shared" si="11"/>
        <v>0.05</v>
      </c>
      <c r="O152" s="92" t="str">
        <f t="shared" si="12"/>
        <v>Unique</v>
      </c>
      <c r="P152" s="94">
        <f t="shared" si="10"/>
        <v>7</v>
      </c>
    </row>
    <row r="153" spans="1:16">
      <c r="A153" s="115">
        <v>3101151</v>
      </c>
      <c r="B153" s="85" t="s">
        <v>310</v>
      </c>
      <c r="C153" s="96" t="s">
        <v>38</v>
      </c>
      <c r="D153" s="85" t="s">
        <v>18</v>
      </c>
      <c r="E153" s="96" t="s">
        <v>39</v>
      </c>
      <c r="F153" s="96" t="s">
        <v>34</v>
      </c>
      <c r="G153" s="85" t="s">
        <v>256</v>
      </c>
      <c r="H153" s="98">
        <v>46282</v>
      </c>
      <c r="I153" s="85">
        <v>540000</v>
      </c>
      <c r="J153" s="96">
        <v>3</v>
      </c>
      <c r="K153" s="106">
        <v>69</v>
      </c>
      <c r="L153" s="94" t="str" cm="1">
        <f t="array" ref="L153">_xlfn.IFS(J153&lt;2,"Fresher",J153&lt;=3,"Mid Level",J153&gt;3,"Experienced")</f>
        <v>Mid Level</v>
      </c>
      <c r="M153" s="90" t="str" cm="1">
        <f t="array" ref="M153">_xlfn.IFS(I153&gt;=600000,"High",I153&gt;=450000,"Medium",I153&lt;450000,"Low")</f>
        <v>Medium</v>
      </c>
      <c r="N153" s="94">
        <f t="shared" si="11"/>
        <v>0.01</v>
      </c>
      <c r="O153" s="92" t="str">
        <f t="shared" si="12"/>
        <v>Unique</v>
      </c>
      <c r="P153" s="94">
        <f t="shared" si="10"/>
        <v>9</v>
      </c>
    </row>
    <row r="154" spans="1:16">
      <c r="A154" s="115">
        <v>3101152</v>
      </c>
      <c r="B154" s="85" t="s">
        <v>287</v>
      </c>
      <c r="C154" s="96" t="s">
        <v>264</v>
      </c>
      <c r="D154" s="85" t="s">
        <v>28</v>
      </c>
      <c r="E154" s="96" t="s">
        <v>297</v>
      </c>
      <c r="F154" s="96" t="s">
        <v>24</v>
      </c>
      <c r="G154" s="85" t="s">
        <v>15</v>
      </c>
      <c r="H154" s="98">
        <v>46222</v>
      </c>
      <c r="I154" s="85">
        <v>615000</v>
      </c>
      <c r="J154" s="96">
        <v>0</v>
      </c>
      <c r="K154" s="106">
        <v>81</v>
      </c>
      <c r="L154" s="94" t="str" cm="1">
        <f t="array" ref="L154">_xlfn.IFS(J154&lt;2,"Fresher",J154&lt;=3,"Mid Level",J154&gt;3,"Experienced")</f>
        <v>Fresher</v>
      </c>
      <c r="M154" s="90" t="str" cm="1">
        <f t="array" ref="M154">_xlfn.IFS(I154&gt;=600000,"High",I154&gt;=450000,"Medium",I154&lt;450000,"Low")</f>
        <v>High</v>
      </c>
      <c r="N154" s="94">
        <f t="shared" si="11"/>
        <v>0.02</v>
      </c>
      <c r="O154" s="92" t="str">
        <f t="shared" si="12"/>
        <v>Unique</v>
      </c>
      <c r="P154" s="94">
        <f t="shared" si="10"/>
        <v>7</v>
      </c>
    </row>
    <row r="155" spans="1:16">
      <c r="A155" s="115">
        <v>3101153</v>
      </c>
      <c r="B155" s="85" t="s">
        <v>48</v>
      </c>
      <c r="C155" s="96" t="s">
        <v>260</v>
      </c>
      <c r="D155" s="85" t="s">
        <v>12</v>
      </c>
      <c r="E155" s="96" t="s">
        <v>36</v>
      </c>
      <c r="F155" s="96" t="s">
        <v>20</v>
      </c>
      <c r="G155" s="85" t="s">
        <v>25</v>
      </c>
      <c r="H155" s="98">
        <v>46177</v>
      </c>
      <c r="I155" s="85">
        <v>740000</v>
      </c>
      <c r="J155" s="96">
        <v>3</v>
      </c>
      <c r="K155" s="106">
        <v>94</v>
      </c>
      <c r="L155" s="94" t="str" cm="1">
        <f t="array" ref="L155">_xlfn.IFS(J155&lt;2,"Fresher",J155&lt;=3,"Mid Level",J155&gt;3,"Experienced")</f>
        <v>Mid Level</v>
      </c>
      <c r="M155" s="90" t="str" cm="1">
        <f t="array" ref="M155">_xlfn.IFS(I155&gt;=600000,"High",I155&gt;=450000,"Medium",I155&lt;450000,"Low")</f>
        <v>High</v>
      </c>
      <c r="N155" s="94">
        <f t="shared" si="11"/>
        <v>0.05</v>
      </c>
      <c r="O155" s="92" t="str">
        <f t="shared" si="12"/>
        <v>Unique</v>
      </c>
      <c r="P155" s="94">
        <f t="shared" si="10"/>
        <v>6</v>
      </c>
    </row>
    <row r="156" spans="1:16">
      <c r="A156" s="115">
        <v>3101154</v>
      </c>
      <c r="B156" s="85" t="s">
        <v>312</v>
      </c>
      <c r="C156" s="96" t="s">
        <v>11</v>
      </c>
      <c r="D156" s="85" t="s">
        <v>18</v>
      </c>
      <c r="E156" s="96" t="s">
        <v>39</v>
      </c>
      <c r="F156" s="96" t="s">
        <v>34</v>
      </c>
      <c r="G156" s="85" t="s">
        <v>25</v>
      </c>
      <c r="H156" s="98">
        <v>46276</v>
      </c>
      <c r="I156" s="85">
        <v>495000</v>
      </c>
      <c r="J156" s="96">
        <v>2</v>
      </c>
      <c r="K156" s="106">
        <v>77</v>
      </c>
      <c r="L156" s="94" t="str" cm="1">
        <f t="array" ref="L156">_xlfn.IFS(J156&lt;2,"Fresher",J156&lt;=3,"Mid Level",J156&gt;3,"Experienced")</f>
        <v>Mid Level</v>
      </c>
      <c r="M156" s="90" t="str" cm="1">
        <f t="array" ref="M156">_xlfn.IFS(I156&gt;=600000,"High",I156&gt;=450000,"Medium",I156&lt;450000,"Low")</f>
        <v>Medium</v>
      </c>
      <c r="N156" s="94">
        <f t="shared" si="11"/>
        <v>0.01</v>
      </c>
      <c r="O156" s="92" t="str">
        <f t="shared" si="12"/>
        <v>Unique</v>
      </c>
      <c r="P156" s="94">
        <f t="shared" si="10"/>
        <v>9</v>
      </c>
    </row>
    <row r="157" spans="1:16">
      <c r="A157" s="115">
        <v>3101155</v>
      </c>
      <c r="B157" s="85" t="s">
        <v>267</v>
      </c>
      <c r="C157" s="96" t="s">
        <v>258</v>
      </c>
      <c r="D157" s="85" t="s">
        <v>12</v>
      </c>
      <c r="E157" s="96" t="s">
        <v>265</v>
      </c>
      <c r="F157" s="96" t="s">
        <v>34</v>
      </c>
      <c r="G157" s="85" t="s">
        <v>25</v>
      </c>
      <c r="H157" s="98">
        <v>46274</v>
      </c>
      <c r="I157" s="85">
        <v>620000</v>
      </c>
      <c r="J157" s="96">
        <v>2</v>
      </c>
      <c r="K157" s="106">
        <v>72</v>
      </c>
      <c r="L157" s="94" t="str" cm="1">
        <f t="array" ref="L157">_xlfn.IFS(J157&lt;2,"Fresher",J157&lt;=3,"Mid Level",J157&gt;3,"Experienced")</f>
        <v>Mid Level</v>
      </c>
      <c r="M157" s="90" t="str" cm="1">
        <f t="array" ref="M157">_xlfn.IFS(I157&gt;=600000,"High",I157&gt;=450000,"Medium",I157&lt;450000,"Low")</f>
        <v>High</v>
      </c>
      <c r="N157" s="94">
        <f t="shared" si="11"/>
        <v>0.01</v>
      </c>
      <c r="O157" s="92" t="str">
        <f t="shared" si="12"/>
        <v>Unique</v>
      </c>
      <c r="P157" s="94">
        <f t="shared" si="10"/>
        <v>9</v>
      </c>
    </row>
    <row r="158" spans="1:16">
      <c r="A158" s="115">
        <v>3101156</v>
      </c>
      <c r="B158" s="85" t="s">
        <v>309</v>
      </c>
      <c r="C158" s="96" t="s">
        <v>38</v>
      </c>
      <c r="D158" s="85" t="s">
        <v>12</v>
      </c>
      <c r="E158" s="96" t="s">
        <v>13</v>
      </c>
      <c r="F158" s="96" t="s">
        <v>20</v>
      </c>
      <c r="G158" s="85" t="s">
        <v>21</v>
      </c>
      <c r="H158" s="98">
        <v>46244</v>
      </c>
      <c r="I158" s="85">
        <v>495000</v>
      </c>
      <c r="J158" s="96">
        <v>4</v>
      </c>
      <c r="K158" s="106">
        <v>90</v>
      </c>
      <c r="L158" s="94" t="str" cm="1">
        <f t="array" ref="L158">_xlfn.IFS(J158&lt;2,"Fresher",J158&lt;=3,"Mid Level",J158&gt;3,"Experienced")</f>
        <v>Experienced</v>
      </c>
      <c r="M158" s="90" t="str" cm="1">
        <f t="array" ref="M158">_xlfn.IFS(I158&gt;=600000,"High",I158&gt;=450000,"Medium",I158&lt;450000,"Low")</f>
        <v>Medium</v>
      </c>
      <c r="N158" s="94">
        <f t="shared" si="11"/>
        <v>0.05</v>
      </c>
      <c r="O158" s="92" t="str">
        <f t="shared" si="12"/>
        <v>Unique</v>
      </c>
      <c r="P158" s="94">
        <f t="shared" si="10"/>
        <v>8</v>
      </c>
    </row>
    <row r="159" spans="1:16">
      <c r="A159" s="115">
        <v>3101157</v>
      </c>
      <c r="B159" s="85" t="s">
        <v>293</v>
      </c>
      <c r="C159" s="96" t="s">
        <v>258</v>
      </c>
      <c r="D159" s="85" t="s">
        <v>12</v>
      </c>
      <c r="E159" s="96" t="s">
        <v>303</v>
      </c>
      <c r="F159" s="96" t="s">
        <v>14</v>
      </c>
      <c r="G159" s="85" t="s">
        <v>15</v>
      </c>
      <c r="H159" s="98">
        <v>46200</v>
      </c>
      <c r="I159" s="85">
        <v>810000</v>
      </c>
      <c r="J159" s="96">
        <v>1</v>
      </c>
      <c r="K159" s="106">
        <v>74</v>
      </c>
      <c r="L159" s="94" t="str" cm="1">
        <f t="array" ref="L159">_xlfn.IFS(J159&lt;2,"Fresher",J159&lt;=3,"Mid Level",J159&gt;3,"Experienced")</f>
        <v>Fresher</v>
      </c>
      <c r="M159" s="90" t="str" cm="1">
        <f t="array" ref="M159">_xlfn.IFS(I159&gt;=600000,"High",I159&gt;=450000,"Medium",I159&lt;450000,"Low")</f>
        <v>High</v>
      </c>
      <c r="N159" s="94">
        <f t="shared" si="11"/>
        <v>0.02</v>
      </c>
      <c r="O159" s="92" t="str">
        <f t="shared" si="12"/>
        <v>Unique</v>
      </c>
      <c r="P159" s="94">
        <f t="shared" si="10"/>
        <v>6</v>
      </c>
    </row>
    <row r="160" spans="1:16">
      <c r="A160" s="115">
        <v>3101158</v>
      </c>
      <c r="B160" s="85" t="s">
        <v>310</v>
      </c>
      <c r="C160" s="96" t="s">
        <v>268</v>
      </c>
      <c r="D160" s="85" t="s">
        <v>12</v>
      </c>
      <c r="E160" s="96" t="s">
        <v>36</v>
      </c>
      <c r="F160" s="96" t="s">
        <v>20</v>
      </c>
      <c r="G160" s="85" t="s">
        <v>21</v>
      </c>
      <c r="H160" s="98">
        <v>46240</v>
      </c>
      <c r="I160" s="85">
        <v>845000</v>
      </c>
      <c r="J160" s="96">
        <v>0</v>
      </c>
      <c r="K160" s="106">
        <v>85</v>
      </c>
      <c r="L160" s="94" t="str" cm="1">
        <f t="array" ref="L160">_xlfn.IFS(J160&lt;2,"Fresher",J160&lt;=3,"Mid Level",J160&gt;3,"Experienced")</f>
        <v>Fresher</v>
      </c>
      <c r="M160" s="90" t="str" cm="1">
        <f t="array" ref="M160">_xlfn.IFS(I160&gt;=600000,"High",I160&gt;=450000,"Medium",I160&lt;450000,"Low")</f>
        <v>High</v>
      </c>
      <c r="N160" s="94">
        <f t="shared" si="11"/>
        <v>0.05</v>
      </c>
      <c r="O160" s="92" t="str">
        <f t="shared" si="12"/>
        <v>Unique</v>
      </c>
      <c r="P160" s="94">
        <f t="shared" si="10"/>
        <v>8</v>
      </c>
    </row>
    <row r="161" spans="1:16">
      <c r="A161" s="115">
        <v>3101159</v>
      </c>
      <c r="B161" s="85" t="s">
        <v>305</v>
      </c>
      <c r="C161" s="96" t="s">
        <v>17</v>
      </c>
      <c r="D161" s="85" t="s">
        <v>12</v>
      </c>
      <c r="E161" s="96" t="s">
        <v>23</v>
      </c>
      <c r="F161" s="96" t="s">
        <v>24</v>
      </c>
      <c r="G161" s="85" t="s">
        <v>21</v>
      </c>
      <c r="H161" s="98">
        <v>46262</v>
      </c>
      <c r="I161" s="85">
        <v>640000</v>
      </c>
      <c r="J161" s="96">
        <v>4</v>
      </c>
      <c r="K161" s="106">
        <v>94</v>
      </c>
      <c r="L161" s="94" t="str" cm="1">
        <f t="array" ref="L161">_xlfn.IFS(J161&lt;2,"Fresher",J161&lt;=3,"Mid Level",J161&gt;3,"Experienced")</f>
        <v>Experienced</v>
      </c>
      <c r="M161" s="90" t="str" cm="1">
        <f t="array" ref="M161">_xlfn.IFS(I161&gt;=600000,"High",I161&gt;=450000,"Medium",I161&lt;450000,"Low")</f>
        <v>High</v>
      </c>
      <c r="N161" s="94">
        <f t="shared" si="11"/>
        <v>0.02</v>
      </c>
      <c r="O161" s="92" t="str">
        <f t="shared" si="12"/>
        <v>Unique</v>
      </c>
      <c r="P161" s="94">
        <f t="shared" si="10"/>
        <v>8</v>
      </c>
    </row>
    <row r="162" spans="1:16">
      <c r="A162" s="115">
        <v>3101160</v>
      </c>
      <c r="B162" s="85" t="s">
        <v>100</v>
      </c>
      <c r="C162" s="96" t="s">
        <v>258</v>
      </c>
      <c r="D162" s="85" t="s">
        <v>12</v>
      </c>
      <c r="E162" s="96" t="s">
        <v>265</v>
      </c>
      <c r="F162" s="96" t="s">
        <v>34</v>
      </c>
      <c r="G162" s="85" t="s">
        <v>21</v>
      </c>
      <c r="H162" s="98">
        <v>46145</v>
      </c>
      <c r="I162" s="85">
        <v>440000</v>
      </c>
      <c r="J162" s="96">
        <v>0</v>
      </c>
      <c r="K162" s="106">
        <v>68</v>
      </c>
      <c r="L162" s="94" t="str" cm="1">
        <f t="array" ref="L162">_xlfn.IFS(J162&lt;2,"Fresher",J162&lt;=3,"Mid Level",J162&gt;3,"Experienced")</f>
        <v>Fresher</v>
      </c>
      <c r="M162" s="90" t="str" cm="1">
        <f t="array" ref="M162">_xlfn.IFS(I162&gt;=600000,"High",I162&gt;=450000,"Medium",I162&lt;450000,"Low")</f>
        <v>Low</v>
      </c>
      <c r="N162" s="94">
        <f t="shared" si="11"/>
        <v>0.01</v>
      </c>
      <c r="O162" s="92" t="str">
        <f t="shared" si="12"/>
        <v>Unique</v>
      </c>
      <c r="P162" s="94">
        <f t="shared" si="10"/>
        <v>5</v>
      </c>
    </row>
    <row r="163" spans="1:16">
      <c r="A163" s="115">
        <v>3101161</v>
      </c>
      <c r="B163" s="85" t="s">
        <v>282</v>
      </c>
      <c r="C163" s="96" t="s">
        <v>27</v>
      </c>
      <c r="D163" s="85" t="s">
        <v>28</v>
      </c>
      <c r="E163" s="96" t="s">
        <v>297</v>
      </c>
      <c r="F163" s="96" t="s">
        <v>20</v>
      </c>
      <c r="G163" s="85" t="s">
        <v>15</v>
      </c>
      <c r="H163" s="98">
        <v>46172</v>
      </c>
      <c r="I163" s="85">
        <v>635000</v>
      </c>
      <c r="J163" s="96">
        <v>1</v>
      </c>
      <c r="K163" s="106">
        <v>87</v>
      </c>
      <c r="L163" s="94" t="str" cm="1">
        <f t="array" ref="L163">_xlfn.IFS(J163&lt;2,"Fresher",J163&lt;=3,"Mid Level",J163&gt;3,"Experienced")</f>
        <v>Fresher</v>
      </c>
      <c r="M163" s="90" t="str" cm="1">
        <f t="array" ref="M163">_xlfn.IFS(I163&gt;=600000,"High",I163&gt;=450000,"Medium",I163&lt;450000,"Low")</f>
        <v>High</v>
      </c>
      <c r="N163" s="94">
        <f t="shared" si="11"/>
        <v>0.05</v>
      </c>
      <c r="O163" s="92" t="str">
        <f t="shared" si="12"/>
        <v>Unique</v>
      </c>
      <c r="P163" s="94">
        <f t="shared" si="10"/>
        <v>5</v>
      </c>
    </row>
    <row r="164" spans="1:16">
      <c r="A164" s="115">
        <v>3101162</v>
      </c>
      <c r="B164" s="85" t="s">
        <v>295</v>
      </c>
      <c r="C164" s="96" t="s">
        <v>264</v>
      </c>
      <c r="D164" s="85" t="s">
        <v>18</v>
      </c>
      <c r="E164" s="96" t="s">
        <v>39</v>
      </c>
      <c r="F164" s="96" t="s">
        <v>24</v>
      </c>
      <c r="G164" s="85" t="s">
        <v>15</v>
      </c>
      <c r="H164" s="98">
        <v>46233</v>
      </c>
      <c r="I164" s="85">
        <v>365000</v>
      </c>
      <c r="J164" s="96">
        <v>1</v>
      </c>
      <c r="K164" s="106">
        <v>82</v>
      </c>
      <c r="L164" s="94" t="str" cm="1">
        <f t="array" ref="L164">_xlfn.IFS(J164&lt;2,"Fresher",J164&lt;=3,"Mid Level",J164&gt;3,"Experienced")</f>
        <v>Fresher</v>
      </c>
      <c r="M164" s="90" t="str" cm="1">
        <f t="array" ref="M164">_xlfn.IFS(I164&gt;=600000,"High",I164&gt;=450000,"Medium",I164&lt;450000,"Low")</f>
        <v>Low</v>
      </c>
      <c r="N164" s="94">
        <f t="shared" si="11"/>
        <v>0.02</v>
      </c>
      <c r="O164" s="92" t="str">
        <f t="shared" si="12"/>
        <v>Unique</v>
      </c>
      <c r="P164" s="94">
        <f t="shared" si="10"/>
        <v>7</v>
      </c>
    </row>
    <row r="165" spans="1:16">
      <c r="A165" s="115">
        <v>3101163</v>
      </c>
      <c r="B165" s="85" t="s">
        <v>302</v>
      </c>
      <c r="C165" s="96" t="s">
        <v>268</v>
      </c>
      <c r="D165" s="85" t="s">
        <v>12</v>
      </c>
      <c r="E165" s="96" t="s">
        <v>23</v>
      </c>
      <c r="F165" s="96" t="s">
        <v>20</v>
      </c>
      <c r="G165" s="85" t="s">
        <v>25</v>
      </c>
      <c r="H165" s="98">
        <v>46178</v>
      </c>
      <c r="I165" s="85">
        <v>430000</v>
      </c>
      <c r="J165" s="96">
        <v>0</v>
      </c>
      <c r="K165" s="106">
        <v>76</v>
      </c>
      <c r="L165" s="94" t="str" cm="1">
        <f t="array" ref="L165">_xlfn.IFS(J165&lt;2,"Fresher",J165&lt;=3,"Mid Level",J165&gt;3,"Experienced")</f>
        <v>Fresher</v>
      </c>
      <c r="M165" s="90" t="str" cm="1">
        <f t="array" ref="M165">_xlfn.IFS(I165&gt;=600000,"High",I165&gt;=450000,"Medium",I165&lt;450000,"Low")</f>
        <v>Low</v>
      </c>
      <c r="N165" s="94">
        <f t="shared" si="11"/>
        <v>0.05</v>
      </c>
      <c r="O165" s="92" t="str">
        <f t="shared" si="12"/>
        <v>Unique</v>
      </c>
      <c r="P165" s="94">
        <f t="shared" si="10"/>
        <v>6</v>
      </c>
    </row>
    <row r="166" spans="1:16">
      <c r="A166" s="115">
        <v>3101164</v>
      </c>
      <c r="B166" s="85" t="s">
        <v>301</v>
      </c>
      <c r="C166" s="96" t="s">
        <v>258</v>
      </c>
      <c r="D166" s="85" t="s">
        <v>12</v>
      </c>
      <c r="E166" s="96" t="s">
        <v>23</v>
      </c>
      <c r="F166" s="96" t="s">
        <v>20</v>
      </c>
      <c r="G166" s="85" t="s">
        <v>21</v>
      </c>
      <c r="H166" s="98">
        <v>46259</v>
      </c>
      <c r="I166" s="85">
        <v>640000</v>
      </c>
      <c r="J166" s="96">
        <v>3</v>
      </c>
      <c r="K166" s="106">
        <v>88</v>
      </c>
      <c r="L166" s="94" t="str" cm="1">
        <f t="array" ref="L166">_xlfn.IFS(J166&lt;2,"Fresher",J166&lt;=3,"Mid Level",J166&gt;3,"Experienced")</f>
        <v>Mid Level</v>
      </c>
      <c r="M166" s="90" t="str" cm="1">
        <f t="array" ref="M166">_xlfn.IFS(I166&gt;=600000,"High",I166&gt;=450000,"Medium",I166&lt;450000,"Low")</f>
        <v>High</v>
      </c>
      <c r="N166" s="94">
        <f t="shared" si="11"/>
        <v>0.05</v>
      </c>
      <c r="O166" s="92" t="str">
        <f t="shared" si="12"/>
        <v>Unique</v>
      </c>
      <c r="P166" s="94">
        <f t="shared" si="10"/>
        <v>8</v>
      </c>
    </row>
    <row r="167" spans="1:16">
      <c r="A167" s="115">
        <v>3101165</v>
      </c>
      <c r="B167" s="85" t="s">
        <v>100</v>
      </c>
      <c r="C167" s="96" t="s">
        <v>11</v>
      </c>
      <c r="D167" s="85" t="s">
        <v>28</v>
      </c>
      <c r="E167" s="96" t="s">
        <v>29</v>
      </c>
      <c r="F167" s="96" t="s">
        <v>24</v>
      </c>
      <c r="G167" s="85" t="s">
        <v>21</v>
      </c>
      <c r="H167" s="98">
        <v>46162</v>
      </c>
      <c r="I167" s="85">
        <v>470000</v>
      </c>
      <c r="J167" s="96">
        <v>2</v>
      </c>
      <c r="K167" s="106">
        <v>91</v>
      </c>
      <c r="L167" s="94" t="str" cm="1">
        <f t="array" ref="L167">_xlfn.IFS(J167&lt;2,"Fresher",J167&lt;=3,"Mid Level",J167&gt;3,"Experienced")</f>
        <v>Mid Level</v>
      </c>
      <c r="M167" s="90" t="str" cm="1">
        <f t="array" ref="M167">_xlfn.IFS(I167&gt;=600000,"High",I167&gt;=450000,"Medium",I167&lt;450000,"Low")</f>
        <v>Medium</v>
      </c>
      <c r="N167" s="94">
        <f t="shared" si="11"/>
        <v>0.02</v>
      </c>
      <c r="O167" s="92" t="str">
        <f t="shared" si="12"/>
        <v>Unique</v>
      </c>
      <c r="P167" s="94">
        <f t="shared" si="10"/>
        <v>5</v>
      </c>
    </row>
    <row r="168" spans="1:16">
      <c r="A168" s="115">
        <v>3101166</v>
      </c>
      <c r="B168" s="85" t="s">
        <v>293</v>
      </c>
      <c r="C168" s="96" t="s">
        <v>258</v>
      </c>
      <c r="D168" s="85" t="s">
        <v>12</v>
      </c>
      <c r="E168" s="96" t="s">
        <v>23</v>
      </c>
      <c r="F168" s="96" t="s">
        <v>34</v>
      </c>
      <c r="G168" s="85" t="s">
        <v>256</v>
      </c>
      <c r="H168" s="98">
        <v>46147</v>
      </c>
      <c r="I168" s="85">
        <v>615000</v>
      </c>
      <c r="J168" s="96">
        <v>1</v>
      </c>
      <c r="K168" s="106">
        <v>69</v>
      </c>
      <c r="L168" s="94" t="str" cm="1">
        <f t="array" ref="L168">_xlfn.IFS(J168&lt;2,"Fresher",J168&lt;=3,"Mid Level",J168&gt;3,"Experienced")</f>
        <v>Fresher</v>
      </c>
      <c r="M168" s="90" t="str" cm="1">
        <f t="array" ref="M168">_xlfn.IFS(I168&gt;=600000,"High",I168&gt;=450000,"Medium",I168&lt;450000,"Low")</f>
        <v>High</v>
      </c>
      <c r="N168" s="94">
        <f t="shared" si="11"/>
        <v>0.01</v>
      </c>
      <c r="O168" s="92" t="str">
        <f t="shared" si="12"/>
        <v>Unique</v>
      </c>
      <c r="P168" s="94">
        <f t="shared" si="10"/>
        <v>5</v>
      </c>
    </row>
    <row r="169" spans="1:16">
      <c r="A169" s="115">
        <v>3101167</v>
      </c>
      <c r="B169" s="85" t="s">
        <v>287</v>
      </c>
      <c r="C169" s="96" t="s">
        <v>258</v>
      </c>
      <c r="D169" s="85" t="s">
        <v>12</v>
      </c>
      <c r="E169" s="96" t="s">
        <v>23</v>
      </c>
      <c r="F169" s="96" t="s">
        <v>24</v>
      </c>
      <c r="G169" s="85" t="s">
        <v>21</v>
      </c>
      <c r="H169" s="98">
        <v>46164</v>
      </c>
      <c r="I169" s="85">
        <v>470000</v>
      </c>
      <c r="J169" s="96">
        <v>3</v>
      </c>
      <c r="K169" s="106">
        <v>95</v>
      </c>
      <c r="L169" s="94" t="str" cm="1">
        <f t="array" ref="L169">_xlfn.IFS(J169&lt;2,"Fresher",J169&lt;=3,"Mid Level",J169&gt;3,"Experienced")</f>
        <v>Mid Level</v>
      </c>
      <c r="M169" s="90" t="str" cm="1">
        <f t="array" ref="M169">_xlfn.IFS(I169&gt;=600000,"High",I169&gt;=450000,"Medium",I169&lt;450000,"Low")</f>
        <v>Medium</v>
      </c>
      <c r="N169" s="94">
        <f t="shared" si="11"/>
        <v>0.02</v>
      </c>
      <c r="O169" s="92" t="str">
        <f t="shared" si="12"/>
        <v>Unique</v>
      </c>
      <c r="P169" s="94">
        <f t="shared" si="10"/>
        <v>5</v>
      </c>
    </row>
    <row r="170" spans="1:16">
      <c r="A170" s="115">
        <v>3101168</v>
      </c>
      <c r="B170" s="85" t="s">
        <v>287</v>
      </c>
      <c r="C170" s="96" t="s">
        <v>264</v>
      </c>
      <c r="D170" s="85" t="s">
        <v>28</v>
      </c>
      <c r="E170" s="96" t="s">
        <v>29</v>
      </c>
      <c r="F170" s="96" t="s">
        <v>34</v>
      </c>
      <c r="G170" s="85" t="s">
        <v>15</v>
      </c>
      <c r="H170" s="98">
        <v>46279</v>
      </c>
      <c r="I170" s="85">
        <v>465000</v>
      </c>
      <c r="J170" s="96">
        <v>1</v>
      </c>
      <c r="K170" s="106">
        <v>73</v>
      </c>
      <c r="L170" s="94" t="str" cm="1">
        <f t="array" ref="L170">_xlfn.IFS(J170&lt;2,"Fresher",J170&lt;=3,"Mid Level",J170&gt;3,"Experienced")</f>
        <v>Fresher</v>
      </c>
      <c r="M170" s="90" t="str" cm="1">
        <f t="array" ref="M170">_xlfn.IFS(I170&gt;=600000,"High",I170&gt;=450000,"Medium",I170&lt;450000,"Low")</f>
        <v>Medium</v>
      </c>
      <c r="N170" s="94">
        <f t="shared" si="11"/>
        <v>0.01</v>
      </c>
      <c r="O170" s="92" t="str">
        <f t="shared" si="12"/>
        <v>Unique</v>
      </c>
      <c r="P170" s="94">
        <f t="shared" si="10"/>
        <v>9</v>
      </c>
    </row>
    <row r="171" spans="1:16">
      <c r="A171" s="115">
        <v>3101169</v>
      </c>
      <c r="B171" s="85" t="s">
        <v>306</v>
      </c>
      <c r="C171" s="96" t="s">
        <v>260</v>
      </c>
      <c r="D171" s="85" t="s">
        <v>12</v>
      </c>
      <c r="E171" s="96" t="s">
        <v>13</v>
      </c>
      <c r="F171" s="96" t="s">
        <v>34</v>
      </c>
      <c r="G171" s="85" t="s">
        <v>21</v>
      </c>
      <c r="H171" s="98">
        <v>46219</v>
      </c>
      <c r="I171" s="85">
        <v>615000</v>
      </c>
      <c r="J171" s="96">
        <v>3</v>
      </c>
      <c r="K171" s="106">
        <v>84</v>
      </c>
      <c r="L171" s="94" t="str" cm="1">
        <f t="array" ref="L171">_xlfn.IFS(J171&lt;2,"Fresher",J171&lt;=3,"Mid Level",J171&gt;3,"Experienced")</f>
        <v>Mid Level</v>
      </c>
      <c r="M171" s="90" t="str" cm="1">
        <f t="array" ref="M171">_xlfn.IFS(I171&gt;=600000,"High",I171&gt;=450000,"Medium",I171&lt;450000,"Low")</f>
        <v>High</v>
      </c>
      <c r="N171" s="94">
        <f t="shared" si="11"/>
        <v>0.01</v>
      </c>
      <c r="O171" s="92" t="str">
        <f t="shared" si="12"/>
        <v>Unique</v>
      </c>
      <c r="P171" s="94">
        <f t="shared" si="10"/>
        <v>7</v>
      </c>
    </row>
    <row r="172" spans="1:16">
      <c r="A172" s="115">
        <v>3101170</v>
      </c>
      <c r="B172" s="85" t="s">
        <v>287</v>
      </c>
      <c r="C172" s="96" t="s">
        <v>38</v>
      </c>
      <c r="D172" s="85" t="s">
        <v>32</v>
      </c>
      <c r="E172" s="96" t="s">
        <v>300</v>
      </c>
      <c r="F172" s="96" t="s">
        <v>20</v>
      </c>
      <c r="G172" s="85" t="s">
        <v>15</v>
      </c>
      <c r="H172" s="98">
        <v>46277</v>
      </c>
      <c r="I172" s="85">
        <v>430000</v>
      </c>
      <c r="J172" s="96">
        <v>2</v>
      </c>
      <c r="K172" s="106">
        <v>79</v>
      </c>
      <c r="L172" s="94" t="str" cm="1">
        <f t="array" ref="L172">_xlfn.IFS(J172&lt;2,"Fresher",J172&lt;=3,"Mid Level",J172&gt;3,"Experienced")</f>
        <v>Mid Level</v>
      </c>
      <c r="M172" s="90" t="str" cm="1">
        <f t="array" ref="M172">_xlfn.IFS(I172&gt;=600000,"High",I172&gt;=450000,"Medium",I172&lt;450000,"Low")</f>
        <v>Low</v>
      </c>
      <c r="N172" s="94">
        <f t="shared" si="11"/>
        <v>0.05</v>
      </c>
      <c r="O172" s="92" t="str">
        <f t="shared" si="12"/>
        <v>Unique</v>
      </c>
      <c r="P172" s="94">
        <f t="shared" si="10"/>
        <v>9</v>
      </c>
    </row>
    <row r="173" spans="1:16">
      <c r="A173" s="115">
        <v>3101171</v>
      </c>
      <c r="B173" s="85" t="s">
        <v>287</v>
      </c>
      <c r="C173" s="96" t="s">
        <v>260</v>
      </c>
      <c r="D173" s="85" t="s">
        <v>12</v>
      </c>
      <c r="E173" s="96" t="s">
        <v>23</v>
      </c>
      <c r="F173" s="96" t="s">
        <v>24</v>
      </c>
      <c r="G173" s="85" t="s">
        <v>15</v>
      </c>
      <c r="H173" s="98">
        <v>46195</v>
      </c>
      <c r="I173" s="85">
        <v>635000</v>
      </c>
      <c r="J173" s="96">
        <v>4</v>
      </c>
      <c r="K173" s="106">
        <v>71</v>
      </c>
      <c r="L173" s="94" t="str" cm="1">
        <f t="array" ref="L173">_xlfn.IFS(J173&lt;2,"Fresher",J173&lt;=3,"Mid Level",J173&gt;3,"Experienced")</f>
        <v>Experienced</v>
      </c>
      <c r="M173" s="90" t="str" cm="1">
        <f t="array" ref="M173">_xlfn.IFS(I173&gt;=600000,"High",I173&gt;=450000,"Medium",I173&lt;450000,"Low")</f>
        <v>High</v>
      </c>
      <c r="N173" s="94">
        <f t="shared" si="11"/>
        <v>0.02</v>
      </c>
      <c r="O173" s="92" t="str">
        <f t="shared" si="12"/>
        <v>Unique</v>
      </c>
      <c r="P173" s="94">
        <f t="shared" si="10"/>
        <v>6</v>
      </c>
    </row>
    <row r="174" spans="1:16">
      <c r="A174" s="115">
        <v>3101172</v>
      </c>
      <c r="B174" s="85" t="s">
        <v>252</v>
      </c>
      <c r="C174" s="96" t="s">
        <v>17</v>
      </c>
      <c r="D174" s="85" t="s">
        <v>32</v>
      </c>
      <c r="E174" s="96" t="s">
        <v>33</v>
      </c>
      <c r="F174" s="96" t="s">
        <v>34</v>
      </c>
      <c r="G174" s="85" t="s">
        <v>21</v>
      </c>
      <c r="H174" s="98">
        <v>46253</v>
      </c>
      <c r="I174" s="85">
        <v>425000</v>
      </c>
      <c r="J174" s="96">
        <v>4</v>
      </c>
      <c r="K174" s="106">
        <v>89</v>
      </c>
      <c r="L174" s="94" t="str" cm="1">
        <f t="array" ref="L174">_xlfn.IFS(J174&lt;2,"Fresher",J174&lt;=3,"Mid Level",J174&gt;3,"Experienced")</f>
        <v>Experienced</v>
      </c>
      <c r="M174" s="90" t="str" cm="1">
        <f t="array" ref="M174">_xlfn.IFS(I174&gt;=600000,"High",I174&gt;=450000,"Medium",I174&lt;450000,"Low")</f>
        <v>Low</v>
      </c>
      <c r="N174" s="94">
        <f t="shared" si="11"/>
        <v>0.01</v>
      </c>
      <c r="O174" s="92" t="str">
        <f t="shared" si="12"/>
        <v>Unique</v>
      </c>
      <c r="P174" s="94">
        <f t="shared" si="10"/>
        <v>8</v>
      </c>
    </row>
    <row r="175" spans="1:16">
      <c r="A175" s="115">
        <v>3101173</v>
      </c>
      <c r="B175" s="85" t="s">
        <v>313</v>
      </c>
      <c r="C175" s="96" t="s">
        <v>17</v>
      </c>
      <c r="D175" s="85" t="s">
        <v>12</v>
      </c>
      <c r="E175" s="96" t="s">
        <v>303</v>
      </c>
      <c r="F175" s="96" t="s">
        <v>20</v>
      </c>
      <c r="G175" s="85" t="s">
        <v>25</v>
      </c>
      <c r="H175" s="98">
        <v>46260</v>
      </c>
      <c r="I175" s="85">
        <v>705000</v>
      </c>
      <c r="J175" s="96">
        <v>4</v>
      </c>
      <c r="K175" s="106">
        <v>67</v>
      </c>
      <c r="L175" s="94" t="str" cm="1">
        <f t="array" ref="L175">_xlfn.IFS(J175&lt;2,"Fresher",J175&lt;=3,"Mid Level",J175&gt;3,"Experienced")</f>
        <v>Experienced</v>
      </c>
      <c r="M175" s="90" t="str" cm="1">
        <f t="array" ref="M175">_xlfn.IFS(I175&gt;=600000,"High",I175&gt;=450000,"Medium",I175&lt;450000,"Low")</f>
        <v>High</v>
      </c>
      <c r="N175" s="94">
        <f t="shared" si="11"/>
        <v>0.05</v>
      </c>
      <c r="O175" s="92" t="str">
        <f t="shared" si="12"/>
        <v>Unique</v>
      </c>
      <c r="P175" s="94">
        <f t="shared" si="10"/>
        <v>8</v>
      </c>
    </row>
    <row r="176" spans="1:16">
      <c r="A176" s="115">
        <v>3101174</v>
      </c>
      <c r="B176" s="85" t="s">
        <v>313</v>
      </c>
      <c r="C176" s="96" t="s">
        <v>264</v>
      </c>
      <c r="D176" s="85" t="s">
        <v>12</v>
      </c>
      <c r="E176" s="96" t="s">
        <v>13</v>
      </c>
      <c r="F176" s="96" t="s">
        <v>34</v>
      </c>
      <c r="G176" s="85" t="s">
        <v>21</v>
      </c>
      <c r="H176" s="98">
        <v>46234</v>
      </c>
      <c r="I176" s="85">
        <v>630000</v>
      </c>
      <c r="J176" s="96">
        <v>2</v>
      </c>
      <c r="K176" s="106">
        <v>86</v>
      </c>
      <c r="L176" s="94" t="str" cm="1">
        <f t="array" ref="L176">_xlfn.IFS(J176&lt;2,"Fresher",J176&lt;=3,"Mid Level",J176&gt;3,"Experienced")</f>
        <v>Mid Level</v>
      </c>
      <c r="M176" s="90" t="str" cm="1">
        <f t="array" ref="M176">_xlfn.IFS(I176&gt;=600000,"High",I176&gt;=450000,"Medium",I176&lt;450000,"Low")</f>
        <v>High</v>
      </c>
      <c r="N176" s="94">
        <f t="shared" si="11"/>
        <v>0.01</v>
      </c>
      <c r="O176" s="92" t="str">
        <f t="shared" si="12"/>
        <v>Unique</v>
      </c>
      <c r="P176" s="94">
        <f t="shared" si="10"/>
        <v>7</v>
      </c>
    </row>
    <row r="177" spans="1:16">
      <c r="A177" s="115">
        <v>3101175</v>
      </c>
      <c r="B177" s="85" t="s">
        <v>298</v>
      </c>
      <c r="C177" s="96" t="s">
        <v>11</v>
      </c>
      <c r="D177" s="85" t="s">
        <v>12</v>
      </c>
      <c r="E177" s="96" t="s">
        <v>303</v>
      </c>
      <c r="F177" s="96" t="s">
        <v>20</v>
      </c>
      <c r="G177" s="85" t="s">
        <v>21</v>
      </c>
      <c r="H177" s="98">
        <v>46150</v>
      </c>
      <c r="I177" s="85">
        <v>685000</v>
      </c>
      <c r="J177" s="96">
        <v>5</v>
      </c>
      <c r="K177" s="106">
        <v>92</v>
      </c>
      <c r="L177" s="94" t="str" cm="1">
        <f t="array" ref="L177">_xlfn.IFS(J177&lt;2,"Fresher",J177&lt;=3,"Mid Level",J177&gt;3,"Experienced")</f>
        <v>Experienced</v>
      </c>
      <c r="M177" s="90" t="str" cm="1">
        <f t="array" ref="M177">_xlfn.IFS(I177&gt;=600000,"High",I177&gt;=450000,"Medium",I177&lt;450000,"Low")</f>
        <v>High</v>
      </c>
      <c r="N177" s="94">
        <f t="shared" si="11"/>
        <v>0.05</v>
      </c>
      <c r="O177" s="92" t="str">
        <f t="shared" si="12"/>
        <v>Unique</v>
      </c>
      <c r="P177" s="94">
        <f t="shared" si="10"/>
        <v>5</v>
      </c>
    </row>
    <row r="178" spans="1:16">
      <c r="A178" s="115">
        <v>3101176</v>
      </c>
      <c r="B178" s="85" t="s">
        <v>294</v>
      </c>
      <c r="C178" s="96" t="s">
        <v>17</v>
      </c>
      <c r="D178" s="85" t="s">
        <v>12</v>
      </c>
      <c r="E178" s="96" t="s">
        <v>303</v>
      </c>
      <c r="F178" s="96" t="s">
        <v>20</v>
      </c>
      <c r="G178" s="85" t="s">
        <v>21</v>
      </c>
      <c r="H178" s="98">
        <v>46221</v>
      </c>
      <c r="I178" s="85">
        <v>660000</v>
      </c>
      <c r="J178" s="96">
        <v>5</v>
      </c>
      <c r="K178" s="106">
        <v>69</v>
      </c>
      <c r="L178" s="94" t="str" cm="1">
        <f t="array" ref="L178">_xlfn.IFS(J178&lt;2,"Fresher",J178&lt;=3,"Mid Level",J178&gt;3,"Experienced")</f>
        <v>Experienced</v>
      </c>
      <c r="M178" s="90" t="str" cm="1">
        <f t="array" ref="M178">_xlfn.IFS(I178&gt;=600000,"High",I178&gt;=450000,"Medium",I178&lt;450000,"Low")</f>
        <v>High</v>
      </c>
      <c r="N178" s="94">
        <f t="shared" si="11"/>
        <v>0.05</v>
      </c>
      <c r="O178" s="92" t="str">
        <f t="shared" si="12"/>
        <v>Unique</v>
      </c>
      <c r="P178" s="94">
        <f t="shared" si="10"/>
        <v>7</v>
      </c>
    </row>
    <row r="179" spans="1:16">
      <c r="A179" s="115">
        <v>3101177</v>
      </c>
      <c r="B179" s="85" t="s">
        <v>280</v>
      </c>
      <c r="C179" s="96" t="s">
        <v>38</v>
      </c>
      <c r="D179" s="85" t="s">
        <v>12</v>
      </c>
      <c r="E179" s="96" t="s">
        <v>265</v>
      </c>
      <c r="F179" s="96" t="s">
        <v>14</v>
      </c>
      <c r="G179" s="85" t="s">
        <v>15</v>
      </c>
      <c r="H179" s="98">
        <v>46190</v>
      </c>
      <c r="I179" s="85">
        <v>630000</v>
      </c>
      <c r="J179" s="96">
        <v>0</v>
      </c>
      <c r="K179" s="106">
        <v>81</v>
      </c>
      <c r="L179" s="94" t="str" cm="1">
        <f t="array" ref="L179">_xlfn.IFS(J179&lt;2,"Fresher",J179&lt;=3,"Mid Level",J179&gt;3,"Experienced")</f>
        <v>Fresher</v>
      </c>
      <c r="M179" s="90" t="str" cm="1">
        <f t="array" ref="M179">_xlfn.IFS(I179&gt;=600000,"High",I179&gt;=450000,"Medium",I179&lt;450000,"Low")</f>
        <v>High</v>
      </c>
      <c r="N179" s="94">
        <f t="shared" si="11"/>
        <v>0.02</v>
      </c>
      <c r="O179" s="92" t="str">
        <f t="shared" si="12"/>
        <v>Unique</v>
      </c>
      <c r="P179" s="94">
        <f t="shared" si="10"/>
        <v>6</v>
      </c>
    </row>
    <row r="180" spans="1:16">
      <c r="A180" s="115">
        <v>3101178</v>
      </c>
      <c r="B180" s="85" t="s">
        <v>299</v>
      </c>
      <c r="C180" s="96" t="s">
        <v>17</v>
      </c>
      <c r="D180" s="85" t="s">
        <v>32</v>
      </c>
      <c r="E180" s="96" t="s">
        <v>33</v>
      </c>
      <c r="F180" s="96" t="s">
        <v>14</v>
      </c>
      <c r="G180" s="85" t="s">
        <v>21</v>
      </c>
      <c r="H180" s="98">
        <v>46172</v>
      </c>
      <c r="I180" s="85">
        <v>350000</v>
      </c>
      <c r="J180" s="96">
        <v>3</v>
      </c>
      <c r="K180" s="106">
        <v>94</v>
      </c>
      <c r="L180" s="94" t="str" cm="1">
        <f t="array" ref="L180">_xlfn.IFS(J180&lt;2,"Fresher",J180&lt;=3,"Mid Level",J180&gt;3,"Experienced")</f>
        <v>Mid Level</v>
      </c>
      <c r="M180" s="90" t="str" cm="1">
        <f t="array" ref="M180">_xlfn.IFS(I180&gt;=600000,"High",I180&gt;=450000,"Medium",I180&lt;450000,"Low")</f>
        <v>Low</v>
      </c>
      <c r="N180" s="94">
        <f t="shared" si="11"/>
        <v>0.02</v>
      </c>
      <c r="O180" s="92" t="str">
        <f t="shared" si="12"/>
        <v>Unique</v>
      </c>
      <c r="P180" s="94">
        <f t="shared" si="10"/>
        <v>5</v>
      </c>
    </row>
    <row r="181" spans="1:16">
      <c r="A181" s="115">
        <v>3101179</v>
      </c>
      <c r="B181" s="85" t="s">
        <v>254</v>
      </c>
      <c r="C181" s="96" t="s">
        <v>17</v>
      </c>
      <c r="D181" s="85" t="s">
        <v>12</v>
      </c>
      <c r="E181" s="96" t="s">
        <v>23</v>
      </c>
      <c r="F181" s="96" t="s">
        <v>14</v>
      </c>
      <c r="G181" s="85" t="s">
        <v>256</v>
      </c>
      <c r="H181" s="98">
        <v>46244</v>
      </c>
      <c r="I181" s="85">
        <v>505000</v>
      </c>
      <c r="J181" s="96">
        <v>0</v>
      </c>
      <c r="K181" s="106">
        <v>77</v>
      </c>
      <c r="L181" s="94" t="str" cm="1">
        <f t="array" ref="L181">_xlfn.IFS(J181&lt;2,"Fresher",J181&lt;=3,"Mid Level",J181&gt;3,"Experienced")</f>
        <v>Fresher</v>
      </c>
      <c r="M181" s="90" t="str" cm="1">
        <f t="array" ref="M181">_xlfn.IFS(I181&gt;=600000,"High",I181&gt;=450000,"Medium",I181&lt;450000,"Low")</f>
        <v>Medium</v>
      </c>
      <c r="N181" s="94">
        <f t="shared" si="11"/>
        <v>0.02</v>
      </c>
      <c r="O181" s="92" t="str">
        <f t="shared" si="12"/>
        <v>Unique</v>
      </c>
      <c r="P181" s="94">
        <f t="shared" si="10"/>
        <v>8</v>
      </c>
    </row>
    <row r="182" spans="1:16">
      <c r="A182" s="115">
        <v>3101180</v>
      </c>
      <c r="B182" s="85" t="s">
        <v>302</v>
      </c>
      <c r="C182" s="96" t="s">
        <v>11</v>
      </c>
      <c r="D182" s="85" t="s">
        <v>12</v>
      </c>
      <c r="E182" s="96" t="s">
        <v>261</v>
      </c>
      <c r="F182" s="96" t="s">
        <v>20</v>
      </c>
      <c r="G182" s="85" t="s">
        <v>256</v>
      </c>
      <c r="H182" s="98">
        <v>46287</v>
      </c>
      <c r="I182" s="85">
        <v>685000</v>
      </c>
      <c r="J182" s="96">
        <v>5</v>
      </c>
      <c r="K182" s="106">
        <v>72</v>
      </c>
      <c r="L182" s="94" t="str" cm="1">
        <f t="array" ref="L182">_xlfn.IFS(J182&lt;2,"Fresher",J182&lt;=3,"Mid Level",J182&gt;3,"Experienced")</f>
        <v>Experienced</v>
      </c>
      <c r="M182" s="90" t="str" cm="1">
        <f t="array" ref="M182">_xlfn.IFS(I182&gt;=600000,"High",I182&gt;=450000,"Medium",I182&lt;450000,"Low")</f>
        <v>High</v>
      </c>
      <c r="N182" s="94">
        <f t="shared" si="11"/>
        <v>0.05</v>
      </c>
      <c r="O182" s="92" t="str">
        <f t="shared" si="12"/>
        <v>Unique</v>
      </c>
      <c r="P182" s="94">
        <f t="shared" si="10"/>
        <v>9</v>
      </c>
    </row>
    <row r="183" spans="1:16">
      <c r="A183" s="115">
        <v>3101181</v>
      </c>
      <c r="B183" s="85" t="s">
        <v>302</v>
      </c>
      <c r="C183" s="96" t="s">
        <v>38</v>
      </c>
      <c r="D183" s="85" t="s">
        <v>12</v>
      </c>
      <c r="E183" s="96" t="s">
        <v>13</v>
      </c>
      <c r="F183" s="96" t="s">
        <v>20</v>
      </c>
      <c r="G183" s="85" t="s">
        <v>21</v>
      </c>
      <c r="H183" s="98">
        <v>46213</v>
      </c>
      <c r="I183" s="85">
        <v>550000</v>
      </c>
      <c r="J183" s="96">
        <v>5</v>
      </c>
      <c r="K183" s="106">
        <v>90</v>
      </c>
      <c r="L183" s="94" t="str" cm="1">
        <f t="array" ref="L183">_xlfn.IFS(J183&lt;2,"Fresher",J183&lt;=3,"Mid Level",J183&gt;3,"Experienced")</f>
        <v>Experienced</v>
      </c>
      <c r="M183" s="90" t="str" cm="1">
        <f t="array" ref="M183">_xlfn.IFS(I183&gt;=600000,"High",I183&gt;=450000,"Medium",I183&lt;450000,"Low")</f>
        <v>Medium</v>
      </c>
      <c r="N183" s="94">
        <f t="shared" si="11"/>
        <v>0.05</v>
      </c>
      <c r="O183" s="92" t="str">
        <f t="shared" si="12"/>
        <v>Unique</v>
      </c>
      <c r="P183" s="94">
        <f t="shared" si="10"/>
        <v>7</v>
      </c>
    </row>
    <row r="184" spans="1:16">
      <c r="A184" s="115">
        <v>3101182</v>
      </c>
      <c r="B184" s="85" t="s">
        <v>45</v>
      </c>
      <c r="C184" s="96" t="s">
        <v>258</v>
      </c>
      <c r="D184" s="85" t="s">
        <v>32</v>
      </c>
      <c r="E184" s="96" t="s">
        <v>300</v>
      </c>
      <c r="F184" s="96" t="s">
        <v>14</v>
      </c>
      <c r="G184" s="85" t="s">
        <v>15</v>
      </c>
      <c r="H184" s="98">
        <v>46291</v>
      </c>
      <c r="I184" s="85">
        <v>410000</v>
      </c>
      <c r="J184" s="96">
        <v>3</v>
      </c>
      <c r="K184" s="106">
        <v>74</v>
      </c>
      <c r="L184" s="94" t="str" cm="1">
        <f t="array" ref="L184">_xlfn.IFS(J184&lt;2,"Fresher",J184&lt;=3,"Mid Level",J184&gt;3,"Experienced")</f>
        <v>Mid Level</v>
      </c>
      <c r="M184" s="90" t="str" cm="1">
        <f t="array" ref="M184">_xlfn.IFS(I184&gt;=600000,"High",I184&gt;=450000,"Medium",I184&lt;450000,"Low")</f>
        <v>Low</v>
      </c>
      <c r="N184" s="94">
        <f t="shared" si="11"/>
        <v>0.02</v>
      </c>
      <c r="O184" s="92" t="str">
        <f t="shared" si="12"/>
        <v>Unique</v>
      </c>
      <c r="P184" s="94">
        <f t="shared" si="10"/>
        <v>9</v>
      </c>
    </row>
    <row r="185" spans="1:16">
      <c r="A185" s="115">
        <v>3101183</v>
      </c>
      <c r="B185" s="85" t="s">
        <v>298</v>
      </c>
      <c r="C185" s="96" t="s">
        <v>268</v>
      </c>
      <c r="D185" s="85" t="s">
        <v>32</v>
      </c>
      <c r="E185" s="96" t="s">
        <v>33</v>
      </c>
      <c r="F185" s="96" t="s">
        <v>24</v>
      </c>
      <c r="G185" s="85" t="s">
        <v>25</v>
      </c>
      <c r="H185" s="98">
        <v>46218</v>
      </c>
      <c r="I185" s="85">
        <v>320000</v>
      </c>
      <c r="J185" s="96">
        <v>0</v>
      </c>
      <c r="K185" s="106">
        <v>85</v>
      </c>
      <c r="L185" s="94" t="str" cm="1">
        <f t="array" ref="L185">_xlfn.IFS(J185&lt;2,"Fresher",J185&lt;=3,"Mid Level",J185&gt;3,"Experienced")</f>
        <v>Fresher</v>
      </c>
      <c r="M185" s="90" t="str" cm="1">
        <f t="array" ref="M185">_xlfn.IFS(I185&gt;=600000,"High",I185&gt;=450000,"Medium",I185&lt;450000,"Low")</f>
        <v>Low</v>
      </c>
      <c r="N185" s="94">
        <f t="shared" si="11"/>
        <v>0.02</v>
      </c>
      <c r="O185" s="92" t="str">
        <f t="shared" si="12"/>
        <v>Unique</v>
      </c>
      <c r="P185" s="94">
        <f t="shared" si="10"/>
        <v>7</v>
      </c>
    </row>
    <row r="186" spans="1:16">
      <c r="A186" s="115">
        <v>3101184</v>
      </c>
      <c r="B186" s="85" t="s">
        <v>311</v>
      </c>
      <c r="C186" s="96" t="s">
        <v>38</v>
      </c>
      <c r="D186" s="85" t="s">
        <v>12</v>
      </c>
      <c r="E186" s="96" t="s">
        <v>261</v>
      </c>
      <c r="F186" s="96" t="s">
        <v>20</v>
      </c>
      <c r="G186" s="85" t="s">
        <v>21</v>
      </c>
      <c r="H186" s="98">
        <v>46183</v>
      </c>
      <c r="I186" s="85">
        <v>520000</v>
      </c>
      <c r="J186" s="96">
        <v>1</v>
      </c>
      <c r="K186" s="106">
        <v>94</v>
      </c>
      <c r="L186" s="94" t="str" cm="1">
        <f t="array" ref="L186">_xlfn.IFS(J186&lt;2,"Fresher",J186&lt;=3,"Mid Level",J186&gt;3,"Experienced")</f>
        <v>Fresher</v>
      </c>
      <c r="M186" s="90" t="str" cm="1">
        <f t="array" ref="M186">_xlfn.IFS(I186&gt;=600000,"High",I186&gt;=450000,"Medium",I186&lt;450000,"Low")</f>
        <v>Medium</v>
      </c>
      <c r="N186" s="94">
        <f t="shared" si="11"/>
        <v>0.05</v>
      </c>
      <c r="O186" s="92" t="str">
        <f t="shared" si="12"/>
        <v>Unique</v>
      </c>
      <c r="P186" s="94">
        <f t="shared" si="10"/>
        <v>6</v>
      </c>
    </row>
    <row r="187" spans="1:16">
      <c r="A187" s="115">
        <v>3101185</v>
      </c>
      <c r="B187" s="85" t="s">
        <v>169</v>
      </c>
      <c r="C187" s="96" t="s">
        <v>260</v>
      </c>
      <c r="D187" s="85" t="s">
        <v>12</v>
      </c>
      <c r="E187" s="96" t="s">
        <v>13</v>
      </c>
      <c r="F187" s="96" t="s">
        <v>14</v>
      </c>
      <c r="G187" s="85" t="s">
        <v>15</v>
      </c>
      <c r="H187" s="98">
        <v>46243</v>
      </c>
      <c r="I187" s="85">
        <v>495000</v>
      </c>
      <c r="J187" s="96">
        <v>0</v>
      </c>
      <c r="K187" s="106">
        <v>68</v>
      </c>
      <c r="L187" s="94" t="str" cm="1">
        <f t="array" ref="L187">_xlfn.IFS(J187&lt;2,"Fresher",J187&lt;=3,"Mid Level",J187&gt;3,"Experienced")</f>
        <v>Fresher</v>
      </c>
      <c r="M187" s="90" t="str" cm="1">
        <f t="array" ref="M187">_xlfn.IFS(I187&gt;=600000,"High",I187&gt;=450000,"Medium",I187&lt;450000,"Low")</f>
        <v>Medium</v>
      </c>
      <c r="N187" s="94">
        <f t="shared" si="11"/>
        <v>0.02</v>
      </c>
      <c r="O187" s="92" t="str">
        <f t="shared" si="12"/>
        <v>Duplicate</v>
      </c>
      <c r="P187" s="94">
        <f t="shared" si="10"/>
        <v>8</v>
      </c>
    </row>
    <row r="188" spans="1:16">
      <c r="A188" s="115">
        <v>3101186</v>
      </c>
      <c r="B188" s="85" t="s">
        <v>310</v>
      </c>
      <c r="C188" s="96" t="s">
        <v>17</v>
      </c>
      <c r="D188" s="85" t="s">
        <v>12</v>
      </c>
      <c r="E188" s="96" t="s">
        <v>13</v>
      </c>
      <c r="F188" s="96" t="s">
        <v>34</v>
      </c>
      <c r="G188" s="85" t="s">
        <v>25</v>
      </c>
      <c r="H188" s="98">
        <v>46168</v>
      </c>
      <c r="I188" s="85">
        <v>555000</v>
      </c>
      <c r="J188" s="96">
        <v>2</v>
      </c>
      <c r="K188" s="106">
        <v>87</v>
      </c>
      <c r="L188" s="94" t="str" cm="1">
        <f t="array" ref="L188">_xlfn.IFS(J188&lt;2,"Fresher",J188&lt;=3,"Mid Level",J188&gt;3,"Experienced")</f>
        <v>Mid Level</v>
      </c>
      <c r="M188" s="90" t="str" cm="1">
        <f t="array" ref="M188">_xlfn.IFS(I188&gt;=600000,"High",I188&gt;=450000,"Medium",I188&lt;450000,"Low")</f>
        <v>Medium</v>
      </c>
      <c r="N188" s="94">
        <f t="shared" si="11"/>
        <v>0.01</v>
      </c>
      <c r="O188" s="92" t="str">
        <f t="shared" si="12"/>
        <v>Unique</v>
      </c>
      <c r="P188" s="94">
        <f t="shared" si="10"/>
        <v>5</v>
      </c>
    </row>
    <row r="189" spans="1:16">
      <c r="A189" s="115">
        <v>3101187</v>
      </c>
      <c r="B189" s="85" t="s">
        <v>47</v>
      </c>
      <c r="C189" s="96" t="s">
        <v>38</v>
      </c>
      <c r="D189" s="85" t="s">
        <v>12</v>
      </c>
      <c r="E189" s="96" t="s">
        <v>303</v>
      </c>
      <c r="F189" s="96" t="s">
        <v>34</v>
      </c>
      <c r="G189" s="85" t="s">
        <v>15</v>
      </c>
      <c r="H189" s="98">
        <v>46282</v>
      </c>
      <c r="I189" s="85">
        <v>570000</v>
      </c>
      <c r="J189" s="96">
        <v>4</v>
      </c>
      <c r="K189" s="106">
        <v>82</v>
      </c>
      <c r="L189" s="94" t="str" cm="1">
        <f t="array" ref="L189">_xlfn.IFS(J189&lt;2,"Fresher",J189&lt;=3,"Mid Level",J189&gt;3,"Experienced")</f>
        <v>Experienced</v>
      </c>
      <c r="M189" s="90" t="str" cm="1">
        <f t="array" ref="M189">_xlfn.IFS(I189&gt;=600000,"High",I189&gt;=450000,"Medium",I189&lt;450000,"Low")</f>
        <v>Medium</v>
      </c>
      <c r="N189" s="94">
        <f t="shared" si="11"/>
        <v>0.01</v>
      </c>
      <c r="O189" s="92" t="str">
        <f t="shared" si="12"/>
        <v>Unique</v>
      </c>
      <c r="P189" s="94">
        <f t="shared" si="10"/>
        <v>9</v>
      </c>
    </row>
    <row r="190" spans="1:16">
      <c r="A190" s="115">
        <v>3101188</v>
      </c>
      <c r="B190" s="85" t="s">
        <v>284</v>
      </c>
      <c r="C190" s="96" t="s">
        <v>38</v>
      </c>
      <c r="D190" s="85" t="s">
        <v>28</v>
      </c>
      <c r="E190" s="96" t="s">
        <v>297</v>
      </c>
      <c r="F190" s="96" t="s">
        <v>34</v>
      </c>
      <c r="G190" s="85" t="s">
        <v>25</v>
      </c>
      <c r="H190" s="98">
        <v>46180</v>
      </c>
      <c r="I190" s="85">
        <v>425000</v>
      </c>
      <c r="J190" s="96">
        <v>1</v>
      </c>
      <c r="K190" s="106">
        <v>76</v>
      </c>
      <c r="L190" s="94" t="str" cm="1">
        <f t="array" ref="L190">_xlfn.IFS(J190&lt;2,"Fresher",J190&lt;=3,"Mid Level",J190&gt;3,"Experienced")</f>
        <v>Fresher</v>
      </c>
      <c r="M190" s="90" t="str" cm="1">
        <f t="array" ref="M190">_xlfn.IFS(I190&gt;=600000,"High",I190&gt;=450000,"Medium",I190&lt;450000,"Low")</f>
        <v>Low</v>
      </c>
      <c r="N190" s="94">
        <f t="shared" si="11"/>
        <v>0.01</v>
      </c>
      <c r="O190" s="92" t="str">
        <f t="shared" si="12"/>
        <v>Unique</v>
      </c>
      <c r="P190" s="94">
        <f t="shared" si="10"/>
        <v>6</v>
      </c>
    </row>
    <row r="191" spans="1:16">
      <c r="A191" s="115">
        <v>3101189</v>
      </c>
      <c r="B191" s="85" t="s">
        <v>289</v>
      </c>
      <c r="C191" s="96" t="s">
        <v>260</v>
      </c>
      <c r="D191" s="85" t="s">
        <v>32</v>
      </c>
      <c r="E191" s="96" t="s">
        <v>33</v>
      </c>
      <c r="F191" s="96" t="s">
        <v>14</v>
      </c>
      <c r="G191" s="85" t="s">
        <v>21</v>
      </c>
      <c r="H191" s="98">
        <v>46295</v>
      </c>
      <c r="I191" s="85">
        <v>430000</v>
      </c>
      <c r="J191" s="96">
        <v>5</v>
      </c>
      <c r="K191" s="106">
        <v>88</v>
      </c>
      <c r="L191" s="94" t="str" cm="1">
        <f t="array" ref="L191">_xlfn.IFS(J191&lt;2,"Fresher",J191&lt;=3,"Mid Level",J191&gt;3,"Experienced")</f>
        <v>Experienced</v>
      </c>
      <c r="M191" s="90" t="str" cm="1">
        <f t="array" ref="M191">_xlfn.IFS(I191&gt;=600000,"High",I191&gt;=450000,"Medium",I191&lt;450000,"Low")</f>
        <v>Low</v>
      </c>
      <c r="N191" s="94">
        <f t="shared" si="11"/>
        <v>0.02</v>
      </c>
      <c r="O191" s="92" t="str">
        <f t="shared" si="12"/>
        <v>Unique</v>
      </c>
      <c r="P191" s="94">
        <f t="shared" si="10"/>
        <v>9</v>
      </c>
    </row>
    <row r="192" spans="1:16">
      <c r="A192" s="115">
        <v>3101190</v>
      </c>
      <c r="B192" s="85" t="s">
        <v>257</v>
      </c>
      <c r="C192" s="96" t="s">
        <v>38</v>
      </c>
      <c r="D192" s="85" t="s">
        <v>12</v>
      </c>
      <c r="E192" s="96" t="s">
        <v>265</v>
      </c>
      <c r="F192" s="96" t="s">
        <v>24</v>
      </c>
      <c r="G192" s="85" t="s">
        <v>256</v>
      </c>
      <c r="H192" s="98">
        <v>46266</v>
      </c>
      <c r="I192" s="85">
        <v>780000</v>
      </c>
      <c r="J192" s="96">
        <v>0</v>
      </c>
      <c r="K192" s="106">
        <v>91</v>
      </c>
      <c r="L192" s="94" t="str" cm="1">
        <f t="array" ref="L192">_xlfn.IFS(J192&lt;2,"Fresher",J192&lt;=3,"Mid Level",J192&gt;3,"Experienced")</f>
        <v>Fresher</v>
      </c>
      <c r="M192" s="90" t="str" cm="1">
        <f t="array" ref="M192">_xlfn.IFS(I192&gt;=600000,"High",I192&gt;=450000,"Medium",I192&lt;450000,"Low")</f>
        <v>High</v>
      </c>
      <c r="N192" s="94">
        <f t="shared" si="11"/>
        <v>0.02</v>
      </c>
      <c r="O192" s="92" t="str">
        <f t="shared" si="12"/>
        <v>Unique</v>
      </c>
      <c r="P192" s="94">
        <f t="shared" si="10"/>
        <v>9</v>
      </c>
    </row>
    <row r="193" spans="1:16">
      <c r="A193" s="115">
        <v>3101191</v>
      </c>
      <c r="B193" s="85" t="s">
        <v>262</v>
      </c>
      <c r="C193" s="96" t="s">
        <v>260</v>
      </c>
      <c r="D193" s="85" t="s">
        <v>18</v>
      </c>
      <c r="E193" s="96" t="s">
        <v>19</v>
      </c>
      <c r="F193" s="96" t="s">
        <v>14</v>
      </c>
      <c r="G193" s="85" t="s">
        <v>256</v>
      </c>
      <c r="H193" s="98">
        <v>46233</v>
      </c>
      <c r="I193" s="85">
        <v>385000</v>
      </c>
      <c r="J193" s="96">
        <v>1</v>
      </c>
      <c r="K193" s="106">
        <v>69</v>
      </c>
      <c r="L193" s="94" t="str" cm="1">
        <f t="array" ref="L193">_xlfn.IFS(J193&lt;2,"Fresher",J193&lt;=3,"Mid Level",J193&gt;3,"Experienced")</f>
        <v>Fresher</v>
      </c>
      <c r="M193" s="90" t="str" cm="1">
        <f t="array" ref="M193">_xlfn.IFS(I193&gt;=600000,"High",I193&gt;=450000,"Medium",I193&lt;450000,"Low")</f>
        <v>Low</v>
      </c>
      <c r="N193" s="94">
        <f t="shared" si="11"/>
        <v>0.02</v>
      </c>
      <c r="O193" s="92" t="str">
        <f t="shared" si="12"/>
        <v>Unique</v>
      </c>
      <c r="P193" s="94">
        <f t="shared" si="10"/>
        <v>7</v>
      </c>
    </row>
    <row r="194" spans="1:16">
      <c r="A194" s="115">
        <v>3101192</v>
      </c>
      <c r="B194" s="85" t="s">
        <v>304</v>
      </c>
      <c r="C194" s="96" t="s">
        <v>11</v>
      </c>
      <c r="D194" s="85" t="s">
        <v>12</v>
      </c>
      <c r="E194" s="96" t="s">
        <v>261</v>
      </c>
      <c r="F194" s="96" t="s">
        <v>24</v>
      </c>
      <c r="G194" s="85" t="s">
        <v>21</v>
      </c>
      <c r="H194" s="98">
        <v>46245</v>
      </c>
      <c r="I194" s="85">
        <v>450000</v>
      </c>
      <c r="J194" s="96">
        <v>5</v>
      </c>
      <c r="K194" s="106">
        <v>95</v>
      </c>
      <c r="L194" s="94" t="str" cm="1">
        <f t="array" ref="L194">_xlfn.IFS(J194&lt;2,"Fresher",J194&lt;=3,"Mid Level",J194&gt;3,"Experienced")</f>
        <v>Experienced</v>
      </c>
      <c r="M194" s="90" t="str" cm="1">
        <f t="array" ref="M194">_xlfn.IFS(I194&gt;=600000,"High",I194&gt;=450000,"Medium",I194&lt;450000,"Low")</f>
        <v>Medium</v>
      </c>
      <c r="N194" s="94">
        <f t="shared" si="11"/>
        <v>0.02</v>
      </c>
      <c r="O194" s="92" t="str">
        <f t="shared" si="12"/>
        <v>Unique</v>
      </c>
      <c r="P194" s="94">
        <f t="shared" si="10"/>
        <v>8</v>
      </c>
    </row>
    <row r="195" spans="1:16">
      <c r="A195" s="115">
        <v>3101193</v>
      </c>
      <c r="B195" s="85" t="s">
        <v>174</v>
      </c>
      <c r="C195" s="96" t="s">
        <v>260</v>
      </c>
      <c r="D195" s="85" t="s">
        <v>12</v>
      </c>
      <c r="E195" s="96" t="s">
        <v>23</v>
      </c>
      <c r="F195" s="96" t="s">
        <v>34</v>
      </c>
      <c r="G195" s="85" t="s">
        <v>256</v>
      </c>
      <c r="H195" s="98">
        <v>46251</v>
      </c>
      <c r="I195" s="85">
        <v>725000</v>
      </c>
      <c r="J195" s="96">
        <v>0</v>
      </c>
      <c r="K195" s="106">
        <v>73</v>
      </c>
      <c r="L195" s="94" t="str" cm="1">
        <f t="array" ref="L195">_xlfn.IFS(J195&lt;2,"Fresher",J195&lt;=3,"Mid Level",J195&gt;3,"Experienced")</f>
        <v>Fresher</v>
      </c>
      <c r="M195" s="90" t="str" cm="1">
        <f t="array" ref="M195">_xlfn.IFS(I195&gt;=600000,"High",I195&gt;=450000,"Medium",I195&lt;450000,"Low")</f>
        <v>High</v>
      </c>
      <c r="N195" s="94">
        <f t="shared" si="11"/>
        <v>0.01</v>
      </c>
      <c r="O195" s="92" t="str">
        <f t="shared" si="12"/>
        <v>Unique</v>
      </c>
      <c r="P195" s="94">
        <f t="shared" ref="P195:P258" si="13">MONTH(H195)</f>
        <v>8</v>
      </c>
    </row>
    <row r="196" spans="1:16">
      <c r="A196" s="115">
        <v>3101194</v>
      </c>
      <c r="B196" s="85" t="s">
        <v>252</v>
      </c>
      <c r="C196" s="96" t="s">
        <v>260</v>
      </c>
      <c r="D196" s="85" t="s">
        <v>12</v>
      </c>
      <c r="E196" s="96" t="s">
        <v>261</v>
      </c>
      <c r="F196" s="96" t="s">
        <v>24</v>
      </c>
      <c r="G196" s="85" t="s">
        <v>256</v>
      </c>
      <c r="H196" s="98">
        <v>46157</v>
      </c>
      <c r="I196" s="85">
        <v>510000</v>
      </c>
      <c r="J196" s="96">
        <v>0</v>
      </c>
      <c r="K196" s="106">
        <v>84</v>
      </c>
      <c r="L196" s="94" t="str" cm="1">
        <f t="array" ref="L196">_xlfn.IFS(J196&lt;2,"Fresher",J196&lt;=3,"Mid Level",J196&gt;3,"Experienced")</f>
        <v>Fresher</v>
      </c>
      <c r="M196" s="90" t="str" cm="1">
        <f t="array" ref="M196">_xlfn.IFS(I196&gt;=600000,"High",I196&gt;=450000,"Medium",I196&lt;450000,"Low")</f>
        <v>Medium</v>
      </c>
      <c r="N196" s="94">
        <f t="shared" ref="N196:N259" si="14">IF(F196="Naukri",2%,IF(F196="LinkedIn",2%,IF(F196="Employee Referral",5%,1%)))</f>
        <v>0.02</v>
      </c>
      <c r="O196" s="92" t="str">
        <f t="shared" ref="O196:O259" si="15">IF(COUNTIF($A$2:$A$478,A196)&gt;1,"Duplicate","Unique")</f>
        <v>Unique</v>
      </c>
      <c r="P196" s="94">
        <f t="shared" si="13"/>
        <v>5</v>
      </c>
    </row>
    <row r="197" spans="1:16">
      <c r="A197" s="115">
        <v>3101195</v>
      </c>
      <c r="B197" s="85" t="s">
        <v>311</v>
      </c>
      <c r="C197" s="96" t="s">
        <v>17</v>
      </c>
      <c r="D197" s="85" t="s">
        <v>12</v>
      </c>
      <c r="E197" s="96" t="s">
        <v>265</v>
      </c>
      <c r="F197" s="96" t="s">
        <v>24</v>
      </c>
      <c r="G197" s="85" t="s">
        <v>256</v>
      </c>
      <c r="H197" s="98">
        <v>46147</v>
      </c>
      <c r="I197" s="85">
        <v>600000</v>
      </c>
      <c r="J197" s="96">
        <v>0</v>
      </c>
      <c r="K197" s="106">
        <v>79</v>
      </c>
      <c r="L197" s="94" t="str" cm="1">
        <f t="array" ref="L197">_xlfn.IFS(J197&lt;2,"Fresher",J197&lt;=3,"Mid Level",J197&gt;3,"Experienced")</f>
        <v>Fresher</v>
      </c>
      <c r="M197" s="90" t="str" cm="1">
        <f t="array" ref="M197">_xlfn.IFS(I197&gt;=600000,"High",I197&gt;=450000,"Medium",I197&lt;450000,"Low")</f>
        <v>High</v>
      </c>
      <c r="N197" s="94">
        <f t="shared" si="14"/>
        <v>0.02</v>
      </c>
      <c r="O197" s="92" t="str">
        <f t="shared" si="15"/>
        <v>Unique</v>
      </c>
      <c r="P197" s="94">
        <f t="shared" si="13"/>
        <v>5</v>
      </c>
    </row>
    <row r="198" spans="1:16">
      <c r="A198" s="115">
        <v>3101196</v>
      </c>
      <c r="B198" s="85" t="s">
        <v>48</v>
      </c>
      <c r="C198" s="96" t="s">
        <v>11</v>
      </c>
      <c r="D198" s="85" t="s">
        <v>32</v>
      </c>
      <c r="E198" s="96" t="s">
        <v>33</v>
      </c>
      <c r="F198" s="96" t="s">
        <v>34</v>
      </c>
      <c r="G198" s="85" t="s">
        <v>15</v>
      </c>
      <c r="H198" s="98">
        <v>46272</v>
      </c>
      <c r="I198" s="85">
        <v>410000</v>
      </c>
      <c r="J198" s="96">
        <v>4</v>
      </c>
      <c r="K198" s="106">
        <v>71</v>
      </c>
      <c r="L198" s="94" t="str" cm="1">
        <f t="array" ref="L198">_xlfn.IFS(J198&lt;2,"Fresher",J198&lt;=3,"Mid Level",J198&gt;3,"Experienced")</f>
        <v>Experienced</v>
      </c>
      <c r="M198" s="90" t="str" cm="1">
        <f t="array" ref="M198">_xlfn.IFS(I198&gt;=600000,"High",I198&gt;=450000,"Medium",I198&lt;450000,"Low")</f>
        <v>Low</v>
      </c>
      <c r="N198" s="94">
        <f t="shared" si="14"/>
        <v>0.01</v>
      </c>
      <c r="O198" s="92" t="str">
        <f t="shared" si="15"/>
        <v>Unique</v>
      </c>
      <c r="P198" s="94">
        <f t="shared" si="13"/>
        <v>9</v>
      </c>
    </row>
    <row r="199" spans="1:16">
      <c r="A199" s="115">
        <v>3101197</v>
      </c>
      <c r="B199" s="85" t="s">
        <v>270</v>
      </c>
      <c r="C199" s="96" t="s">
        <v>38</v>
      </c>
      <c r="D199" s="85" t="s">
        <v>12</v>
      </c>
      <c r="E199" s="96" t="s">
        <v>13</v>
      </c>
      <c r="F199" s="96" t="s">
        <v>34</v>
      </c>
      <c r="G199" s="85" t="s">
        <v>256</v>
      </c>
      <c r="H199" s="98">
        <v>46292</v>
      </c>
      <c r="I199" s="85">
        <v>535000</v>
      </c>
      <c r="J199" s="96">
        <v>5</v>
      </c>
      <c r="K199" s="106">
        <v>89</v>
      </c>
      <c r="L199" s="94" t="str" cm="1">
        <f t="array" ref="L199">_xlfn.IFS(J199&lt;2,"Fresher",J199&lt;=3,"Mid Level",J199&gt;3,"Experienced")</f>
        <v>Experienced</v>
      </c>
      <c r="M199" s="90" t="str" cm="1">
        <f t="array" ref="M199">_xlfn.IFS(I199&gt;=600000,"High",I199&gt;=450000,"Medium",I199&lt;450000,"Low")</f>
        <v>Medium</v>
      </c>
      <c r="N199" s="94">
        <f t="shared" si="14"/>
        <v>0.01</v>
      </c>
      <c r="O199" s="92" t="str">
        <f t="shared" si="15"/>
        <v>Unique</v>
      </c>
      <c r="P199" s="94">
        <f t="shared" si="13"/>
        <v>9</v>
      </c>
    </row>
    <row r="200" spans="1:16">
      <c r="A200" s="115">
        <v>3101198</v>
      </c>
      <c r="B200" s="85" t="s">
        <v>295</v>
      </c>
      <c r="C200" s="96" t="s">
        <v>258</v>
      </c>
      <c r="D200" s="85" t="s">
        <v>12</v>
      </c>
      <c r="E200" s="96" t="s">
        <v>13</v>
      </c>
      <c r="F200" s="96" t="s">
        <v>34</v>
      </c>
      <c r="G200" s="85" t="s">
        <v>256</v>
      </c>
      <c r="H200" s="98">
        <v>46196</v>
      </c>
      <c r="I200" s="85">
        <v>460000</v>
      </c>
      <c r="J200" s="96">
        <v>4</v>
      </c>
      <c r="K200" s="106">
        <v>67</v>
      </c>
      <c r="L200" s="94" t="str" cm="1">
        <f t="array" ref="L200">_xlfn.IFS(J200&lt;2,"Fresher",J200&lt;=3,"Mid Level",J200&gt;3,"Experienced")</f>
        <v>Experienced</v>
      </c>
      <c r="M200" s="90" t="str" cm="1">
        <f t="array" ref="M200">_xlfn.IFS(I200&gt;=600000,"High",I200&gt;=450000,"Medium",I200&lt;450000,"Low")</f>
        <v>Medium</v>
      </c>
      <c r="N200" s="94">
        <f t="shared" si="14"/>
        <v>0.01</v>
      </c>
      <c r="O200" s="92" t="str">
        <f t="shared" si="15"/>
        <v>Unique</v>
      </c>
      <c r="P200" s="94">
        <f t="shared" si="13"/>
        <v>6</v>
      </c>
    </row>
    <row r="201" spans="1:16">
      <c r="A201" s="115">
        <v>3101199</v>
      </c>
      <c r="B201" s="85" t="s">
        <v>46</v>
      </c>
      <c r="C201" s="96" t="s">
        <v>258</v>
      </c>
      <c r="D201" s="85" t="s">
        <v>18</v>
      </c>
      <c r="E201" s="96" t="s">
        <v>19</v>
      </c>
      <c r="F201" s="96" t="s">
        <v>14</v>
      </c>
      <c r="G201" s="85" t="s">
        <v>25</v>
      </c>
      <c r="H201" s="98">
        <v>46150</v>
      </c>
      <c r="I201" s="85">
        <v>445000</v>
      </c>
      <c r="J201" s="96">
        <v>3</v>
      </c>
      <c r="K201" s="106">
        <v>86</v>
      </c>
      <c r="L201" s="94" t="str" cm="1">
        <f t="array" ref="L201">_xlfn.IFS(J201&lt;2,"Fresher",J201&lt;=3,"Mid Level",J201&gt;3,"Experienced")</f>
        <v>Mid Level</v>
      </c>
      <c r="M201" s="90" t="str" cm="1">
        <f t="array" ref="M201">_xlfn.IFS(I201&gt;=600000,"High",I201&gt;=450000,"Medium",I201&lt;450000,"Low")</f>
        <v>Low</v>
      </c>
      <c r="N201" s="94">
        <f t="shared" si="14"/>
        <v>0.02</v>
      </c>
      <c r="O201" s="92" t="str">
        <f t="shared" si="15"/>
        <v>Unique</v>
      </c>
      <c r="P201" s="94">
        <f t="shared" si="13"/>
        <v>5</v>
      </c>
    </row>
    <row r="202" spans="1:16">
      <c r="A202" s="115">
        <v>3101200</v>
      </c>
      <c r="B202" s="85" t="s">
        <v>294</v>
      </c>
      <c r="C202" s="96" t="s">
        <v>11</v>
      </c>
      <c r="D202" s="85" t="s">
        <v>28</v>
      </c>
      <c r="E202" s="96" t="s">
        <v>297</v>
      </c>
      <c r="F202" s="96" t="s">
        <v>24</v>
      </c>
      <c r="G202" s="85" t="s">
        <v>256</v>
      </c>
      <c r="H202" s="98">
        <v>46266</v>
      </c>
      <c r="I202" s="85">
        <v>415000</v>
      </c>
      <c r="J202" s="96">
        <v>3</v>
      </c>
      <c r="K202" s="106">
        <v>92</v>
      </c>
      <c r="L202" s="94" t="str" cm="1">
        <f t="array" ref="L202">_xlfn.IFS(J202&lt;2,"Fresher",J202&lt;=3,"Mid Level",J202&gt;3,"Experienced")</f>
        <v>Mid Level</v>
      </c>
      <c r="M202" s="90" t="str" cm="1">
        <f t="array" ref="M202">_xlfn.IFS(I202&gt;=600000,"High",I202&gt;=450000,"Medium",I202&lt;450000,"Low")</f>
        <v>Low</v>
      </c>
      <c r="N202" s="94">
        <f t="shared" si="14"/>
        <v>0.02</v>
      </c>
      <c r="O202" s="92" t="str">
        <f t="shared" si="15"/>
        <v>Unique</v>
      </c>
      <c r="P202" s="94">
        <f t="shared" si="13"/>
        <v>9</v>
      </c>
    </row>
    <row r="203" spans="1:16">
      <c r="A203" s="115">
        <v>3101201</v>
      </c>
      <c r="B203" s="85" t="s">
        <v>288</v>
      </c>
      <c r="C203" s="96" t="s">
        <v>17</v>
      </c>
      <c r="D203" s="85" t="s">
        <v>12</v>
      </c>
      <c r="E203" s="96" t="s">
        <v>261</v>
      </c>
      <c r="F203" s="96" t="s">
        <v>14</v>
      </c>
      <c r="G203" s="85" t="s">
        <v>21</v>
      </c>
      <c r="H203" s="98">
        <v>46202</v>
      </c>
      <c r="I203" s="85">
        <v>485000</v>
      </c>
      <c r="J203" s="96">
        <v>5</v>
      </c>
      <c r="K203" s="106">
        <v>69</v>
      </c>
      <c r="L203" s="94" t="str" cm="1">
        <f t="array" ref="L203">_xlfn.IFS(J203&lt;2,"Fresher",J203&lt;=3,"Mid Level",J203&gt;3,"Experienced")</f>
        <v>Experienced</v>
      </c>
      <c r="M203" s="90" t="str" cm="1">
        <f t="array" ref="M203">_xlfn.IFS(I203&gt;=600000,"High",I203&gt;=450000,"Medium",I203&lt;450000,"Low")</f>
        <v>Medium</v>
      </c>
      <c r="N203" s="94">
        <f t="shared" si="14"/>
        <v>0.02</v>
      </c>
      <c r="O203" s="92" t="str">
        <f t="shared" si="15"/>
        <v>Unique</v>
      </c>
      <c r="P203" s="94">
        <f t="shared" si="13"/>
        <v>6</v>
      </c>
    </row>
    <row r="204" spans="1:16">
      <c r="A204" s="115">
        <v>3101202</v>
      </c>
      <c r="B204" s="85" t="s">
        <v>271</v>
      </c>
      <c r="C204" s="96" t="s">
        <v>38</v>
      </c>
      <c r="D204" s="85" t="s">
        <v>28</v>
      </c>
      <c r="E204" s="96" t="s">
        <v>297</v>
      </c>
      <c r="F204" s="96" t="s">
        <v>14</v>
      </c>
      <c r="G204" s="85" t="s">
        <v>15</v>
      </c>
      <c r="H204" s="98">
        <v>46280</v>
      </c>
      <c r="I204" s="85">
        <v>490000</v>
      </c>
      <c r="J204" s="96">
        <v>3</v>
      </c>
      <c r="K204" s="106">
        <v>81</v>
      </c>
      <c r="L204" s="94" t="str" cm="1">
        <f t="array" ref="L204">_xlfn.IFS(J204&lt;2,"Fresher",J204&lt;=3,"Mid Level",J204&gt;3,"Experienced")</f>
        <v>Mid Level</v>
      </c>
      <c r="M204" s="90" t="str" cm="1">
        <f t="array" ref="M204">_xlfn.IFS(I204&gt;=600000,"High",I204&gt;=450000,"Medium",I204&lt;450000,"Low")</f>
        <v>Medium</v>
      </c>
      <c r="N204" s="94">
        <f t="shared" si="14"/>
        <v>0.02</v>
      </c>
      <c r="O204" s="92" t="str">
        <f t="shared" si="15"/>
        <v>Unique</v>
      </c>
      <c r="P204" s="94">
        <f t="shared" si="13"/>
        <v>9</v>
      </c>
    </row>
    <row r="205" spans="1:16">
      <c r="A205" s="115">
        <v>3101203</v>
      </c>
      <c r="B205" s="85" t="s">
        <v>44</v>
      </c>
      <c r="C205" s="96" t="s">
        <v>258</v>
      </c>
      <c r="D205" s="85" t="s">
        <v>32</v>
      </c>
      <c r="E205" s="96" t="s">
        <v>33</v>
      </c>
      <c r="F205" s="96" t="s">
        <v>24</v>
      </c>
      <c r="G205" s="85" t="s">
        <v>256</v>
      </c>
      <c r="H205" s="98">
        <v>46222</v>
      </c>
      <c r="I205" s="85">
        <v>375000</v>
      </c>
      <c r="J205" s="96">
        <v>1</v>
      </c>
      <c r="K205" s="106">
        <v>94</v>
      </c>
      <c r="L205" s="94" t="str" cm="1">
        <f t="array" ref="L205">_xlfn.IFS(J205&lt;2,"Fresher",J205&lt;=3,"Mid Level",J205&gt;3,"Experienced")</f>
        <v>Fresher</v>
      </c>
      <c r="M205" s="90" t="str" cm="1">
        <f t="array" ref="M205">_xlfn.IFS(I205&gt;=600000,"High",I205&gt;=450000,"Medium",I205&lt;450000,"Low")</f>
        <v>Low</v>
      </c>
      <c r="N205" s="94">
        <f t="shared" si="14"/>
        <v>0.02</v>
      </c>
      <c r="O205" s="92" t="str">
        <f t="shared" si="15"/>
        <v>Unique</v>
      </c>
      <c r="P205" s="94">
        <f t="shared" si="13"/>
        <v>7</v>
      </c>
    </row>
    <row r="206" spans="1:16">
      <c r="A206" s="115">
        <v>3101204</v>
      </c>
      <c r="B206" s="85" t="s">
        <v>311</v>
      </c>
      <c r="C206" s="96" t="s">
        <v>260</v>
      </c>
      <c r="D206" s="85" t="s">
        <v>28</v>
      </c>
      <c r="E206" s="96" t="s">
        <v>29</v>
      </c>
      <c r="F206" s="96" t="s">
        <v>20</v>
      </c>
      <c r="G206" s="85" t="s">
        <v>25</v>
      </c>
      <c r="H206" s="98">
        <v>46196</v>
      </c>
      <c r="I206" s="85">
        <v>425000</v>
      </c>
      <c r="J206" s="96">
        <v>0</v>
      </c>
      <c r="K206" s="106">
        <v>77</v>
      </c>
      <c r="L206" s="94" t="str" cm="1">
        <f t="array" ref="L206">_xlfn.IFS(J206&lt;2,"Fresher",J206&lt;=3,"Mid Level",J206&gt;3,"Experienced")</f>
        <v>Fresher</v>
      </c>
      <c r="M206" s="90" t="str" cm="1">
        <f t="array" ref="M206">_xlfn.IFS(I206&gt;=600000,"High",I206&gt;=450000,"Medium",I206&lt;450000,"Low")</f>
        <v>Low</v>
      </c>
      <c r="N206" s="94">
        <f t="shared" si="14"/>
        <v>0.05</v>
      </c>
      <c r="O206" s="92" t="str">
        <f t="shared" si="15"/>
        <v>Unique</v>
      </c>
      <c r="P206" s="94">
        <f t="shared" si="13"/>
        <v>6</v>
      </c>
    </row>
    <row r="207" spans="1:16">
      <c r="A207" s="115">
        <v>3101205</v>
      </c>
      <c r="B207" s="85" t="s">
        <v>313</v>
      </c>
      <c r="C207" s="96" t="s">
        <v>264</v>
      </c>
      <c r="D207" s="85" t="s">
        <v>12</v>
      </c>
      <c r="E207" s="96" t="s">
        <v>265</v>
      </c>
      <c r="F207" s="96" t="s">
        <v>20</v>
      </c>
      <c r="G207" s="85" t="s">
        <v>21</v>
      </c>
      <c r="H207" s="98">
        <v>46226</v>
      </c>
      <c r="I207" s="85">
        <v>550000</v>
      </c>
      <c r="J207" s="96">
        <v>5</v>
      </c>
      <c r="K207" s="106">
        <v>72</v>
      </c>
      <c r="L207" s="94" t="str" cm="1">
        <f t="array" ref="L207">_xlfn.IFS(J207&lt;2,"Fresher",J207&lt;=3,"Mid Level",J207&gt;3,"Experienced")</f>
        <v>Experienced</v>
      </c>
      <c r="M207" s="90" t="str" cm="1">
        <f t="array" ref="M207">_xlfn.IFS(I207&gt;=600000,"High",I207&gt;=450000,"Medium",I207&lt;450000,"Low")</f>
        <v>Medium</v>
      </c>
      <c r="N207" s="94">
        <f t="shared" si="14"/>
        <v>0.05</v>
      </c>
      <c r="O207" s="92" t="str">
        <f t="shared" si="15"/>
        <v>Unique</v>
      </c>
      <c r="P207" s="94">
        <f t="shared" si="13"/>
        <v>7</v>
      </c>
    </row>
    <row r="208" spans="1:16">
      <c r="A208" s="115">
        <v>3101206</v>
      </c>
      <c r="B208" s="85" t="s">
        <v>270</v>
      </c>
      <c r="C208" s="96" t="s">
        <v>17</v>
      </c>
      <c r="D208" s="85" t="s">
        <v>12</v>
      </c>
      <c r="E208" s="96" t="s">
        <v>265</v>
      </c>
      <c r="F208" s="96" t="s">
        <v>34</v>
      </c>
      <c r="G208" s="85" t="s">
        <v>15</v>
      </c>
      <c r="H208" s="98">
        <v>46262</v>
      </c>
      <c r="I208" s="85">
        <v>540000</v>
      </c>
      <c r="J208" s="96">
        <v>1</v>
      </c>
      <c r="K208" s="106">
        <v>90</v>
      </c>
      <c r="L208" s="94" t="str" cm="1">
        <f t="array" ref="L208">_xlfn.IFS(J208&lt;2,"Fresher",J208&lt;=3,"Mid Level",J208&gt;3,"Experienced")</f>
        <v>Fresher</v>
      </c>
      <c r="M208" s="90" t="str" cm="1">
        <f t="array" ref="M208">_xlfn.IFS(I208&gt;=600000,"High",I208&gt;=450000,"Medium",I208&lt;450000,"Low")</f>
        <v>Medium</v>
      </c>
      <c r="N208" s="94">
        <f t="shared" si="14"/>
        <v>0.01</v>
      </c>
      <c r="O208" s="92" t="str">
        <f t="shared" si="15"/>
        <v>Unique</v>
      </c>
      <c r="P208" s="94">
        <f t="shared" si="13"/>
        <v>8</v>
      </c>
    </row>
    <row r="209" spans="1:16">
      <c r="A209" s="115">
        <v>3101207</v>
      </c>
      <c r="B209" s="85" t="s">
        <v>47</v>
      </c>
      <c r="C209" s="96" t="s">
        <v>260</v>
      </c>
      <c r="D209" s="85" t="s">
        <v>18</v>
      </c>
      <c r="E209" s="96" t="s">
        <v>39</v>
      </c>
      <c r="F209" s="96" t="s">
        <v>20</v>
      </c>
      <c r="G209" s="85" t="s">
        <v>21</v>
      </c>
      <c r="H209" s="98">
        <v>46261</v>
      </c>
      <c r="I209" s="85">
        <v>405000</v>
      </c>
      <c r="J209" s="96">
        <v>0</v>
      </c>
      <c r="K209" s="106">
        <v>74</v>
      </c>
      <c r="L209" s="94" t="str" cm="1">
        <f t="array" ref="L209">_xlfn.IFS(J209&lt;2,"Fresher",J209&lt;=3,"Mid Level",J209&gt;3,"Experienced")</f>
        <v>Fresher</v>
      </c>
      <c r="M209" s="90" t="str" cm="1">
        <f t="array" ref="M209">_xlfn.IFS(I209&gt;=600000,"High",I209&gt;=450000,"Medium",I209&lt;450000,"Low")</f>
        <v>Low</v>
      </c>
      <c r="N209" s="94">
        <f t="shared" si="14"/>
        <v>0.05</v>
      </c>
      <c r="O209" s="92" t="str">
        <f t="shared" si="15"/>
        <v>Unique</v>
      </c>
      <c r="P209" s="94">
        <f t="shared" si="13"/>
        <v>8</v>
      </c>
    </row>
    <row r="210" spans="1:16">
      <c r="A210" s="115">
        <v>3101208</v>
      </c>
      <c r="B210" s="85" t="s">
        <v>263</v>
      </c>
      <c r="C210" s="96" t="s">
        <v>17</v>
      </c>
      <c r="D210" s="85" t="s">
        <v>32</v>
      </c>
      <c r="E210" s="96" t="s">
        <v>33</v>
      </c>
      <c r="F210" s="96" t="s">
        <v>14</v>
      </c>
      <c r="G210" s="85" t="s">
        <v>21</v>
      </c>
      <c r="H210" s="98">
        <v>46263</v>
      </c>
      <c r="I210" s="85">
        <v>300000</v>
      </c>
      <c r="J210" s="96">
        <v>2</v>
      </c>
      <c r="K210" s="106">
        <v>85</v>
      </c>
      <c r="L210" s="94" t="str" cm="1">
        <f t="array" ref="L210">_xlfn.IFS(J210&lt;2,"Fresher",J210&lt;=3,"Mid Level",J210&gt;3,"Experienced")</f>
        <v>Mid Level</v>
      </c>
      <c r="M210" s="90" t="str" cm="1">
        <f t="array" ref="M210">_xlfn.IFS(I210&gt;=600000,"High",I210&gt;=450000,"Medium",I210&lt;450000,"Low")</f>
        <v>Low</v>
      </c>
      <c r="N210" s="94">
        <f t="shared" si="14"/>
        <v>0.02</v>
      </c>
      <c r="O210" s="92" t="str">
        <f t="shared" si="15"/>
        <v>Unique</v>
      </c>
      <c r="P210" s="94">
        <f t="shared" si="13"/>
        <v>8</v>
      </c>
    </row>
    <row r="211" spans="1:16">
      <c r="A211" s="115">
        <v>3101209</v>
      </c>
      <c r="B211" s="85" t="s">
        <v>309</v>
      </c>
      <c r="C211" s="96" t="s">
        <v>258</v>
      </c>
      <c r="D211" s="85" t="s">
        <v>32</v>
      </c>
      <c r="E211" s="96" t="s">
        <v>300</v>
      </c>
      <c r="F211" s="96" t="s">
        <v>34</v>
      </c>
      <c r="G211" s="85" t="s">
        <v>21</v>
      </c>
      <c r="H211" s="98">
        <v>46175</v>
      </c>
      <c r="I211" s="85">
        <v>385000</v>
      </c>
      <c r="J211" s="96">
        <v>5</v>
      </c>
      <c r="K211" s="106">
        <v>94</v>
      </c>
      <c r="L211" s="94" t="str" cm="1">
        <f t="array" ref="L211">_xlfn.IFS(J211&lt;2,"Fresher",J211&lt;=3,"Mid Level",J211&gt;3,"Experienced")</f>
        <v>Experienced</v>
      </c>
      <c r="M211" s="90" t="str" cm="1">
        <f t="array" ref="M211">_xlfn.IFS(I211&gt;=600000,"High",I211&gt;=450000,"Medium",I211&lt;450000,"Low")</f>
        <v>Low</v>
      </c>
      <c r="N211" s="94">
        <f t="shared" si="14"/>
        <v>0.01</v>
      </c>
      <c r="O211" s="92" t="str">
        <f t="shared" si="15"/>
        <v>Unique</v>
      </c>
      <c r="P211" s="94">
        <f t="shared" si="13"/>
        <v>6</v>
      </c>
    </row>
    <row r="212" spans="1:16">
      <c r="A212" s="115">
        <v>3101210</v>
      </c>
      <c r="B212" s="85" t="s">
        <v>271</v>
      </c>
      <c r="C212" s="96" t="s">
        <v>17</v>
      </c>
      <c r="D212" s="85" t="s">
        <v>32</v>
      </c>
      <c r="E212" s="96" t="s">
        <v>300</v>
      </c>
      <c r="F212" s="96" t="s">
        <v>14</v>
      </c>
      <c r="G212" s="85" t="s">
        <v>21</v>
      </c>
      <c r="H212" s="98">
        <v>46178</v>
      </c>
      <c r="I212" s="85">
        <v>430000</v>
      </c>
      <c r="J212" s="96">
        <v>1</v>
      </c>
      <c r="K212" s="106">
        <v>68</v>
      </c>
      <c r="L212" s="94" t="str" cm="1">
        <f t="array" ref="L212">_xlfn.IFS(J212&lt;2,"Fresher",J212&lt;=3,"Mid Level",J212&gt;3,"Experienced")</f>
        <v>Fresher</v>
      </c>
      <c r="M212" s="90" t="str" cm="1">
        <f t="array" ref="M212">_xlfn.IFS(I212&gt;=600000,"High",I212&gt;=450000,"Medium",I212&lt;450000,"Low")</f>
        <v>Low</v>
      </c>
      <c r="N212" s="94">
        <f t="shared" si="14"/>
        <v>0.02</v>
      </c>
      <c r="O212" s="92" t="str">
        <f t="shared" si="15"/>
        <v>Unique</v>
      </c>
      <c r="P212" s="94">
        <f t="shared" si="13"/>
        <v>6</v>
      </c>
    </row>
    <row r="213" spans="1:16">
      <c r="A213" s="115">
        <v>3101211</v>
      </c>
      <c r="B213" s="85" t="s">
        <v>49</v>
      </c>
      <c r="C213" s="96" t="s">
        <v>264</v>
      </c>
      <c r="D213" s="85" t="s">
        <v>12</v>
      </c>
      <c r="E213" s="96" t="s">
        <v>265</v>
      </c>
      <c r="F213" s="96" t="s">
        <v>34</v>
      </c>
      <c r="G213" s="85" t="s">
        <v>25</v>
      </c>
      <c r="H213" s="98">
        <v>46214</v>
      </c>
      <c r="I213" s="85">
        <v>580000</v>
      </c>
      <c r="J213" s="96">
        <v>0</v>
      </c>
      <c r="K213" s="106">
        <v>87</v>
      </c>
      <c r="L213" s="94" t="str" cm="1">
        <f t="array" ref="L213">_xlfn.IFS(J213&lt;2,"Fresher",J213&lt;=3,"Mid Level",J213&gt;3,"Experienced")</f>
        <v>Fresher</v>
      </c>
      <c r="M213" s="90" t="str" cm="1">
        <f t="array" ref="M213">_xlfn.IFS(I213&gt;=600000,"High",I213&gt;=450000,"Medium",I213&lt;450000,"Low")</f>
        <v>Medium</v>
      </c>
      <c r="N213" s="94">
        <f t="shared" si="14"/>
        <v>0.01</v>
      </c>
      <c r="O213" s="92" t="str">
        <f t="shared" si="15"/>
        <v>Unique</v>
      </c>
      <c r="P213" s="94">
        <f t="shared" si="13"/>
        <v>7</v>
      </c>
    </row>
    <row r="214" spans="1:16">
      <c r="A214" s="115">
        <v>3101212</v>
      </c>
      <c r="B214" s="85" t="s">
        <v>45</v>
      </c>
      <c r="C214" s="96" t="s">
        <v>260</v>
      </c>
      <c r="D214" s="85" t="s">
        <v>28</v>
      </c>
      <c r="E214" s="96" t="s">
        <v>297</v>
      </c>
      <c r="F214" s="96" t="s">
        <v>34</v>
      </c>
      <c r="G214" s="85" t="s">
        <v>21</v>
      </c>
      <c r="H214" s="98">
        <v>46277</v>
      </c>
      <c r="I214" s="85">
        <v>615000</v>
      </c>
      <c r="J214" s="96">
        <v>5</v>
      </c>
      <c r="K214" s="106">
        <v>82</v>
      </c>
      <c r="L214" s="94" t="str" cm="1">
        <f t="array" ref="L214">_xlfn.IFS(J214&lt;2,"Fresher",J214&lt;=3,"Mid Level",J214&gt;3,"Experienced")</f>
        <v>Experienced</v>
      </c>
      <c r="M214" s="90" t="str" cm="1">
        <f t="array" ref="M214">_xlfn.IFS(I214&gt;=600000,"High",I214&gt;=450000,"Medium",I214&lt;450000,"Low")</f>
        <v>High</v>
      </c>
      <c r="N214" s="94">
        <f t="shared" si="14"/>
        <v>0.01</v>
      </c>
      <c r="O214" s="92" t="str">
        <f t="shared" si="15"/>
        <v>Unique</v>
      </c>
      <c r="P214" s="94">
        <f t="shared" si="13"/>
        <v>9</v>
      </c>
    </row>
    <row r="215" spans="1:16">
      <c r="A215" s="115">
        <v>3101213</v>
      </c>
      <c r="B215" s="85" t="s">
        <v>284</v>
      </c>
      <c r="C215" s="96" t="s">
        <v>27</v>
      </c>
      <c r="D215" s="85" t="s">
        <v>12</v>
      </c>
      <c r="E215" s="96" t="s">
        <v>261</v>
      </c>
      <c r="F215" s="96" t="s">
        <v>34</v>
      </c>
      <c r="G215" s="85" t="s">
        <v>21</v>
      </c>
      <c r="H215" s="98">
        <v>46190</v>
      </c>
      <c r="I215" s="85">
        <v>445000</v>
      </c>
      <c r="J215" s="96">
        <v>3</v>
      </c>
      <c r="K215" s="106">
        <v>76</v>
      </c>
      <c r="L215" s="94" t="str" cm="1">
        <f t="array" ref="L215">_xlfn.IFS(J215&lt;2,"Fresher",J215&lt;=3,"Mid Level",J215&gt;3,"Experienced")</f>
        <v>Mid Level</v>
      </c>
      <c r="M215" s="90" t="str" cm="1">
        <f t="array" ref="M215">_xlfn.IFS(I215&gt;=600000,"High",I215&gt;=450000,"Medium",I215&lt;450000,"Low")</f>
        <v>Low</v>
      </c>
      <c r="N215" s="94">
        <f t="shared" si="14"/>
        <v>0.01</v>
      </c>
      <c r="O215" s="92" t="str">
        <f t="shared" si="15"/>
        <v>Unique</v>
      </c>
      <c r="P215" s="94">
        <f t="shared" si="13"/>
        <v>6</v>
      </c>
    </row>
    <row r="216" spans="1:16">
      <c r="A216" s="115">
        <v>3101214</v>
      </c>
      <c r="B216" s="85" t="s">
        <v>253</v>
      </c>
      <c r="C216" s="96" t="s">
        <v>258</v>
      </c>
      <c r="D216" s="85" t="s">
        <v>18</v>
      </c>
      <c r="E216" s="96" t="s">
        <v>19</v>
      </c>
      <c r="F216" s="96" t="s">
        <v>14</v>
      </c>
      <c r="G216" s="85" t="s">
        <v>25</v>
      </c>
      <c r="H216" s="98">
        <v>46145</v>
      </c>
      <c r="I216" s="85">
        <v>315000</v>
      </c>
      <c r="J216" s="96">
        <v>0</v>
      </c>
      <c r="K216" s="106">
        <v>88</v>
      </c>
      <c r="L216" s="94" t="str" cm="1">
        <f t="array" ref="L216">_xlfn.IFS(J216&lt;2,"Fresher",J216&lt;=3,"Mid Level",J216&gt;3,"Experienced")</f>
        <v>Fresher</v>
      </c>
      <c r="M216" s="90" t="str" cm="1">
        <f t="array" ref="M216">_xlfn.IFS(I216&gt;=600000,"High",I216&gt;=450000,"Medium",I216&lt;450000,"Low")</f>
        <v>Low</v>
      </c>
      <c r="N216" s="94">
        <f t="shared" si="14"/>
        <v>0.02</v>
      </c>
      <c r="O216" s="92" t="str">
        <f t="shared" si="15"/>
        <v>Unique</v>
      </c>
      <c r="P216" s="94">
        <f t="shared" si="13"/>
        <v>5</v>
      </c>
    </row>
    <row r="217" spans="1:16">
      <c r="A217" s="115">
        <v>3101215</v>
      </c>
      <c r="B217" s="85" t="s">
        <v>285</v>
      </c>
      <c r="C217" s="96" t="s">
        <v>11</v>
      </c>
      <c r="D217" s="85" t="s">
        <v>32</v>
      </c>
      <c r="E217" s="96" t="s">
        <v>33</v>
      </c>
      <c r="F217" s="96" t="s">
        <v>34</v>
      </c>
      <c r="G217" s="85" t="s">
        <v>25</v>
      </c>
      <c r="H217" s="98">
        <v>46149</v>
      </c>
      <c r="I217" s="85">
        <v>435000</v>
      </c>
      <c r="J217" s="96">
        <v>0</v>
      </c>
      <c r="K217" s="106">
        <v>91</v>
      </c>
      <c r="L217" s="94" t="str" cm="1">
        <f t="array" ref="L217">_xlfn.IFS(J217&lt;2,"Fresher",J217&lt;=3,"Mid Level",J217&gt;3,"Experienced")</f>
        <v>Fresher</v>
      </c>
      <c r="M217" s="90" t="str" cm="1">
        <f t="array" ref="M217">_xlfn.IFS(I217&gt;=600000,"High",I217&gt;=450000,"Medium",I217&lt;450000,"Low")</f>
        <v>Low</v>
      </c>
      <c r="N217" s="94">
        <f t="shared" si="14"/>
        <v>0.01</v>
      </c>
      <c r="O217" s="92" t="str">
        <f t="shared" si="15"/>
        <v>Unique</v>
      </c>
      <c r="P217" s="94">
        <f t="shared" si="13"/>
        <v>5</v>
      </c>
    </row>
    <row r="218" spans="1:16">
      <c r="A218" s="115">
        <v>3101216</v>
      </c>
      <c r="B218" s="85" t="s">
        <v>294</v>
      </c>
      <c r="C218" s="96" t="s">
        <v>11</v>
      </c>
      <c r="D218" s="85" t="s">
        <v>18</v>
      </c>
      <c r="E218" s="96" t="s">
        <v>39</v>
      </c>
      <c r="F218" s="96" t="s">
        <v>14</v>
      </c>
      <c r="G218" s="85" t="s">
        <v>21</v>
      </c>
      <c r="H218" s="98">
        <v>46158</v>
      </c>
      <c r="I218" s="85">
        <v>510000</v>
      </c>
      <c r="J218" s="96">
        <v>1</v>
      </c>
      <c r="K218" s="106">
        <v>69</v>
      </c>
      <c r="L218" s="94" t="str" cm="1">
        <f t="array" ref="L218">_xlfn.IFS(J218&lt;2,"Fresher",J218&lt;=3,"Mid Level",J218&gt;3,"Experienced")</f>
        <v>Fresher</v>
      </c>
      <c r="M218" s="90" t="str" cm="1">
        <f t="array" ref="M218">_xlfn.IFS(I218&gt;=600000,"High",I218&gt;=450000,"Medium",I218&lt;450000,"Low")</f>
        <v>Medium</v>
      </c>
      <c r="N218" s="94">
        <f t="shared" si="14"/>
        <v>0.02</v>
      </c>
      <c r="O218" s="92" t="str">
        <f t="shared" si="15"/>
        <v>Unique</v>
      </c>
      <c r="P218" s="94">
        <f t="shared" si="13"/>
        <v>5</v>
      </c>
    </row>
    <row r="219" spans="1:16">
      <c r="A219" s="115">
        <v>3101217</v>
      </c>
      <c r="B219" s="85" t="s">
        <v>259</v>
      </c>
      <c r="C219" s="96" t="s">
        <v>268</v>
      </c>
      <c r="D219" s="85" t="s">
        <v>12</v>
      </c>
      <c r="E219" s="96" t="s">
        <v>265</v>
      </c>
      <c r="F219" s="96" t="s">
        <v>24</v>
      </c>
      <c r="G219" s="85" t="s">
        <v>15</v>
      </c>
      <c r="H219" s="98">
        <v>46260</v>
      </c>
      <c r="I219" s="85">
        <v>525000</v>
      </c>
      <c r="J219" s="96">
        <v>0</v>
      </c>
      <c r="K219" s="106">
        <v>95</v>
      </c>
      <c r="L219" s="94" t="str" cm="1">
        <f t="array" ref="L219">_xlfn.IFS(J219&lt;2,"Fresher",J219&lt;=3,"Mid Level",J219&gt;3,"Experienced")</f>
        <v>Fresher</v>
      </c>
      <c r="M219" s="90" t="str" cm="1">
        <f t="array" ref="M219">_xlfn.IFS(I219&gt;=600000,"High",I219&gt;=450000,"Medium",I219&lt;450000,"Low")</f>
        <v>Medium</v>
      </c>
      <c r="N219" s="94">
        <f t="shared" si="14"/>
        <v>0.02</v>
      </c>
      <c r="O219" s="92" t="str">
        <f t="shared" si="15"/>
        <v>Unique</v>
      </c>
      <c r="P219" s="94">
        <f t="shared" si="13"/>
        <v>8</v>
      </c>
    </row>
    <row r="220" spans="1:16">
      <c r="A220" s="115">
        <v>3101218</v>
      </c>
      <c r="B220" s="85" t="s">
        <v>274</v>
      </c>
      <c r="C220" s="96" t="s">
        <v>260</v>
      </c>
      <c r="D220" s="85" t="s">
        <v>18</v>
      </c>
      <c r="E220" s="96" t="s">
        <v>19</v>
      </c>
      <c r="F220" s="96" t="s">
        <v>20</v>
      </c>
      <c r="G220" s="85" t="s">
        <v>21</v>
      </c>
      <c r="H220" s="98">
        <v>46280</v>
      </c>
      <c r="I220" s="85">
        <v>330000</v>
      </c>
      <c r="J220" s="96">
        <v>5</v>
      </c>
      <c r="K220" s="106">
        <v>73</v>
      </c>
      <c r="L220" s="94" t="str" cm="1">
        <f t="array" ref="L220">_xlfn.IFS(J220&lt;2,"Fresher",J220&lt;=3,"Mid Level",J220&gt;3,"Experienced")</f>
        <v>Experienced</v>
      </c>
      <c r="M220" s="90" t="str" cm="1">
        <f t="array" ref="M220">_xlfn.IFS(I220&gt;=600000,"High",I220&gt;=450000,"Medium",I220&lt;450000,"Low")</f>
        <v>Low</v>
      </c>
      <c r="N220" s="94">
        <f t="shared" si="14"/>
        <v>0.05</v>
      </c>
      <c r="O220" s="92" t="str">
        <f t="shared" si="15"/>
        <v>Unique</v>
      </c>
      <c r="P220" s="94">
        <f t="shared" si="13"/>
        <v>9</v>
      </c>
    </row>
    <row r="221" spans="1:16">
      <c r="A221" s="115">
        <v>3101219</v>
      </c>
      <c r="B221" s="85" t="s">
        <v>306</v>
      </c>
      <c r="C221" s="96" t="s">
        <v>258</v>
      </c>
      <c r="D221" s="85" t="s">
        <v>12</v>
      </c>
      <c r="E221" s="96" t="s">
        <v>23</v>
      </c>
      <c r="F221" s="96" t="s">
        <v>14</v>
      </c>
      <c r="G221" s="85" t="s">
        <v>21</v>
      </c>
      <c r="H221" s="98">
        <v>46206</v>
      </c>
      <c r="I221" s="85">
        <v>470000</v>
      </c>
      <c r="J221" s="96">
        <v>2</v>
      </c>
      <c r="K221" s="106">
        <v>84</v>
      </c>
      <c r="L221" s="94" t="str" cm="1">
        <f t="array" ref="L221">_xlfn.IFS(J221&lt;2,"Fresher",J221&lt;=3,"Mid Level",J221&gt;3,"Experienced")</f>
        <v>Mid Level</v>
      </c>
      <c r="M221" s="90" t="str" cm="1">
        <f t="array" ref="M221">_xlfn.IFS(I221&gt;=600000,"High",I221&gt;=450000,"Medium",I221&lt;450000,"Low")</f>
        <v>Medium</v>
      </c>
      <c r="N221" s="94">
        <f t="shared" si="14"/>
        <v>0.02</v>
      </c>
      <c r="O221" s="92" t="str">
        <f t="shared" si="15"/>
        <v>Unique</v>
      </c>
      <c r="P221" s="94">
        <f t="shared" si="13"/>
        <v>7</v>
      </c>
    </row>
    <row r="222" spans="1:16">
      <c r="A222" s="115">
        <v>3101220</v>
      </c>
      <c r="B222" s="85" t="s">
        <v>305</v>
      </c>
      <c r="C222" s="96" t="s">
        <v>11</v>
      </c>
      <c r="D222" s="85" t="s">
        <v>12</v>
      </c>
      <c r="E222" s="96" t="s">
        <v>36</v>
      </c>
      <c r="F222" s="96" t="s">
        <v>14</v>
      </c>
      <c r="G222" s="85" t="s">
        <v>21</v>
      </c>
      <c r="H222" s="98">
        <v>46206</v>
      </c>
      <c r="I222" s="85">
        <v>530000</v>
      </c>
      <c r="J222" s="96">
        <v>0</v>
      </c>
      <c r="K222" s="106">
        <v>79</v>
      </c>
      <c r="L222" s="94" t="str" cm="1">
        <f t="array" ref="L222">_xlfn.IFS(J222&lt;2,"Fresher",J222&lt;=3,"Mid Level",J222&gt;3,"Experienced")</f>
        <v>Fresher</v>
      </c>
      <c r="M222" s="90" t="str" cm="1">
        <f t="array" ref="M222">_xlfn.IFS(I222&gt;=600000,"High",I222&gt;=450000,"Medium",I222&lt;450000,"Low")</f>
        <v>Medium</v>
      </c>
      <c r="N222" s="94">
        <f t="shared" si="14"/>
        <v>0.02</v>
      </c>
      <c r="O222" s="92" t="str">
        <f t="shared" si="15"/>
        <v>Unique</v>
      </c>
      <c r="P222" s="94">
        <f t="shared" si="13"/>
        <v>7</v>
      </c>
    </row>
    <row r="223" spans="1:16">
      <c r="A223" s="115">
        <v>3101221</v>
      </c>
      <c r="B223" s="85" t="s">
        <v>283</v>
      </c>
      <c r="C223" s="96" t="s">
        <v>11</v>
      </c>
      <c r="D223" s="85" t="s">
        <v>32</v>
      </c>
      <c r="E223" s="96" t="s">
        <v>33</v>
      </c>
      <c r="F223" s="96" t="s">
        <v>24</v>
      </c>
      <c r="G223" s="85" t="s">
        <v>15</v>
      </c>
      <c r="H223" s="98">
        <v>46146</v>
      </c>
      <c r="I223" s="85">
        <v>330000</v>
      </c>
      <c r="J223" s="96">
        <v>2</v>
      </c>
      <c r="K223" s="106">
        <v>71</v>
      </c>
      <c r="L223" s="94" t="str" cm="1">
        <f t="array" ref="L223">_xlfn.IFS(J223&lt;2,"Fresher",J223&lt;=3,"Mid Level",J223&gt;3,"Experienced")</f>
        <v>Mid Level</v>
      </c>
      <c r="M223" s="90" t="str" cm="1">
        <f t="array" ref="M223">_xlfn.IFS(I223&gt;=600000,"High",I223&gt;=450000,"Medium",I223&lt;450000,"Low")</f>
        <v>Low</v>
      </c>
      <c r="N223" s="94">
        <f t="shared" si="14"/>
        <v>0.02</v>
      </c>
      <c r="O223" s="92" t="str">
        <f t="shared" si="15"/>
        <v>Unique</v>
      </c>
      <c r="P223" s="94">
        <f t="shared" si="13"/>
        <v>5</v>
      </c>
    </row>
    <row r="224" spans="1:16">
      <c r="A224" s="115">
        <v>3101222</v>
      </c>
      <c r="B224" s="85" t="s">
        <v>309</v>
      </c>
      <c r="C224" s="96" t="s">
        <v>38</v>
      </c>
      <c r="D224" s="85" t="s">
        <v>28</v>
      </c>
      <c r="E224" s="96" t="s">
        <v>297</v>
      </c>
      <c r="F224" s="96" t="s">
        <v>14</v>
      </c>
      <c r="G224" s="85" t="s">
        <v>256</v>
      </c>
      <c r="H224" s="98">
        <v>46271</v>
      </c>
      <c r="I224" s="85">
        <v>485000</v>
      </c>
      <c r="J224" s="96">
        <v>0</v>
      </c>
      <c r="K224" s="106">
        <v>89</v>
      </c>
      <c r="L224" s="94" t="str" cm="1">
        <f t="array" ref="L224">_xlfn.IFS(J224&lt;2,"Fresher",J224&lt;=3,"Mid Level",J224&gt;3,"Experienced")</f>
        <v>Fresher</v>
      </c>
      <c r="M224" s="90" t="str" cm="1">
        <f t="array" ref="M224">_xlfn.IFS(I224&gt;=600000,"High",I224&gt;=450000,"Medium",I224&lt;450000,"Low")</f>
        <v>Medium</v>
      </c>
      <c r="N224" s="94">
        <f t="shared" si="14"/>
        <v>0.02</v>
      </c>
      <c r="O224" s="92" t="str">
        <f t="shared" si="15"/>
        <v>Unique</v>
      </c>
      <c r="P224" s="94">
        <f t="shared" si="13"/>
        <v>9</v>
      </c>
    </row>
    <row r="225" spans="1:16">
      <c r="A225" s="115">
        <v>3101223</v>
      </c>
      <c r="B225" s="85" t="s">
        <v>46</v>
      </c>
      <c r="C225" s="96" t="s">
        <v>27</v>
      </c>
      <c r="D225" s="85" t="s">
        <v>18</v>
      </c>
      <c r="E225" s="96" t="s">
        <v>39</v>
      </c>
      <c r="F225" s="96" t="s">
        <v>24</v>
      </c>
      <c r="G225" s="85" t="s">
        <v>256</v>
      </c>
      <c r="H225" s="98">
        <v>46165</v>
      </c>
      <c r="I225" s="85">
        <v>450000</v>
      </c>
      <c r="J225" s="96">
        <v>1</v>
      </c>
      <c r="K225" s="106">
        <v>67</v>
      </c>
      <c r="L225" s="94" t="str" cm="1">
        <f t="array" ref="L225">_xlfn.IFS(J225&lt;2,"Fresher",J225&lt;=3,"Mid Level",J225&gt;3,"Experienced")</f>
        <v>Fresher</v>
      </c>
      <c r="M225" s="90" t="str" cm="1">
        <f t="array" ref="M225">_xlfn.IFS(I225&gt;=600000,"High",I225&gt;=450000,"Medium",I225&lt;450000,"Low")</f>
        <v>Medium</v>
      </c>
      <c r="N225" s="94">
        <f t="shared" si="14"/>
        <v>0.02</v>
      </c>
      <c r="O225" s="92" t="str">
        <f t="shared" si="15"/>
        <v>Unique</v>
      </c>
      <c r="P225" s="94">
        <f t="shared" si="13"/>
        <v>5</v>
      </c>
    </row>
    <row r="226" spans="1:16">
      <c r="A226" s="115">
        <v>3101224</v>
      </c>
      <c r="B226" s="85" t="s">
        <v>302</v>
      </c>
      <c r="C226" s="96" t="s">
        <v>11</v>
      </c>
      <c r="D226" s="85" t="s">
        <v>18</v>
      </c>
      <c r="E226" s="96" t="s">
        <v>19</v>
      </c>
      <c r="F226" s="96" t="s">
        <v>14</v>
      </c>
      <c r="G226" s="85" t="s">
        <v>25</v>
      </c>
      <c r="H226" s="98">
        <v>46260</v>
      </c>
      <c r="I226" s="85">
        <v>305000</v>
      </c>
      <c r="J226" s="96">
        <v>3</v>
      </c>
      <c r="K226" s="106">
        <v>86</v>
      </c>
      <c r="L226" s="94" t="str" cm="1">
        <f t="array" ref="L226">_xlfn.IFS(J226&lt;2,"Fresher",J226&lt;=3,"Mid Level",J226&gt;3,"Experienced")</f>
        <v>Mid Level</v>
      </c>
      <c r="M226" s="90" t="str" cm="1">
        <f t="array" ref="M226">_xlfn.IFS(I226&gt;=600000,"High",I226&gt;=450000,"Medium",I226&lt;450000,"Low")</f>
        <v>Low</v>
      </c>
      <c r="N226" s="94">
        <f t="shared" si="14"/>
        <v>0.02</v>
      </c>
      <c r="O226" s="92" t="str">
        <f t="shared" si="15"/>
        <v>Unique</v>
      </c>
      <c r="P226" s="94">
        <f t="shared" si="13"/>
        <v>8</v>
      </c>
    </row>
    <row r="227" spans="1:16">
      <c r="A227" s="115">
        <v>3101225</v>
      </c>
      <c r="B227" s="85" t="s">
        <v>282</v>
      </c>
      <c r="C227" s="96" t="s">
        <v>268</v>
      </c>
      <c r="D227" s="85" t="s">
        <v>18</v>
      </c>
      <c r="E227" s="96" t="s">
        <v>39</v>
      </c>
      <c r="F227" s="96" t="s">
        <v>24</v>
      </c>
      <c r="G227" s="85" t="s">
        <v>25</v>
      </c>
      <c r="H227" s="98">
        <v>46188</v>
      </c>
      <c r="I227" s="85">
        <v>510000</v>
      </c>
      <c r="J227" s="96">
        <v>1</v>
      </c>
      <c r="K227" s="106">
        <v>92</v>
      </c>
      <c r="L227" s="94" t="str" cm="1">
        <f t="array" ref="L227">_xlfn.IFS(J227&lt;2,"Fresher",J227&lt;=3,"Mid Level",J227&gt;3,"Experienced")</f>
        <v>Fresher</v>
      </c>
      <c r="M227" s="90" t="str" cm="1">
        <f t="array" ref="M227">_xlfn.IFS(I227&gt;=600000,"High",I227&gt;=450000,"Medium",I227&lt;450000,"Low")</f>
        <v>Medium</v>
      </c>
      <c r="N227" s="94">
        <f t="shared" si="14"/>
        <v>0.02</v>
      </c>
      <c r="O227" s="92" t="str">
        <f t="shared" si="15"/>
        <v>Unique</v>
      </c>
      <c r="P227" s="94">
        <f t="shared" si="13"/>
        <v>6</v>
      </c>
    </row>
    <row r="228" spans="1:16">
      <c r="A228" s="115">
        <v>3101226</v>
      </c>
      <c r="B228" s="85" t="s">
        <v>98</v>
      </c>
      <c r="C228" s="96" t="s">
        <v>38</v>
      </c>
      <c r="D228" s="85" t="s">
        <v>12</v>
      </c>
      <c r="E228" s="96" t="s">
        <v>265</v>
      </c>
      <c r="F228" s="96" t="s">
        <v>20</v>
      </c>
      <c r="G228" s="85" t="s">
        <v>15</v>
      </c>
      <c r="H228" s="98">
        <v>46177</v>
      </c>
      <c r="I228" s="85">
        <v>460000</v>
      </c>
      <c r="J228" s="96">
        <v>3</v>
      </c>
      <c r="K228" s="106">
        <v>69</v>
      </c>
      <c r="L228" s="94" t="str" cm="1">
        <f t="array" ref="L228">_xlfn.IFS(J228&lt;2,"Fresher",J228&lt;=3,"Mid Level",J228&gt;3,"Experienced")</f>
        <v>Mid Level</v>
      </c>
      <c r="M228" s="90" t="str" cm="1">
        <f t="array" ref="M228">_xlfn.IFS(I228&gt;=600000,"High",I228&gt;=450000,"Medium",I228&lt;450000,"Low")</f>
        <v>Medium</v>
      </c>
      <c r="N228" s="94">
        <f t="shared" si="14"/>
        <v>0.05</v>
      </c>
      <c r="O228" s="92" t="str">
        <f t="shared" si="15"/>
        <v>Unique</v>
      </c>
      <c r="P228" s="94">
        <f t="shared" si="13"/>
        <v>6</v>
      </c>
    </row>
    <row r="229" spans="1:16">
      <c r="A229" s="115">
        <v>3101227</v>
      </c>
      <c r="B229" s="85" t="s">
        <v>306</v>
      </c>
      <c r="C229" s="96" t="s">
        <v>17</v>
      </c>
      <c r="D229" s="85" t="s">
        <v>12</v>
      </c>
      <c r="E229" s="96" t="s">
        <v>303</v>
      </c>
      <c r="F229" s="96" t="s">
        <v>14</v>
      </c>
      <c r="G229" s="85" t="s">
        <v>15</v>
      </c>
      <c r="H229" s="98">
        <v>46294</v>
      </c>
      <c r="I229" s="85">
        <v>880000</v>
      </c>
      <c r="J229" s="96">
        <v>4</v>
      </c>
      <c r="K229" s="106">
        <v>81</v>
      </c>
      <c r="L229" s="94" t="str" cm="1">
        <f t="array" ref="L229">_xlfn.IFS(J229&lt;2,"Fresher",J229&lt;=3,"Mid Level",J229&gt;3,"Experienced")</f>
        <v>Experienced</v>
      </c>
      <c r="M229" s="90" t="str" cm="1">
        <f t="array" ref="M229">_xlfn.IFS(I229&gt;=600000,"High",I229&gt;=450000,"Medium",I229&lt;450000,"Low")</f>
        <v>High</v>
      </c>
      <c r="N229" s="94">
        <f t="shared" si="14"/>
        <v>0.02</v>
      </c>
      <c r="O229" s="92" t="str">
        <f t="shared" si="15"/>
        <v>Unique</v>
      </c>
      <c r="P229" s="94">
        <f t="shared" si="13"/>
        <v>9</v>
      </c>
    </row>
    <row r="230" spans="1:16">
      <c r="A230" s="115">
        <v>3101228</v>
      </c>
      <c r="B230" s="85" t="s">
        <v>278</v>
      </c>
      <c r="C230" s="96" t="s">
        <v>260</v>
      </c>
      <c r="D230" s="85" t="s">
        <v>28</v>
      </c>
      <c r="E230" s="96" t="s">
        <v>297</v>
      </c>
      <c r="F230" s="96" t="s">
        <v>14</v>
      </c>
      <c r="G230" s="85" t="s">
        <v>25</v>
      </c>
      <c r="H230" s="98">
        <v>46265</v>
      </c>
      <c r="I230" s="85">
        <v>480000</v>
      </c>
      <c r="J230" s="96">
        <v>2</v>
      </c>
      <c r="K230" s="106">
        <v>94</v>
      </c>
      <c r="L230" s="94" t="str" cm="1">
        <f t="array" ref="L230">_xlfn.IFS(J230&lt;2,"Fresher",J230&lt;=3,"Mid Level",J230&gt;3,"Experienced")</f>
        <v>Mid Level</v>
      </c>
      <c r="M230" s="90" t="str" cm="1">
        <f t="array" ref="M230">_xlfn.IFS(I230&gt;=600000,"High",I230&gt;=450000,"Medium",I230&lt;450000,"Low")</f>
        <v>Medium</v>
      </c>
      <c r="N230" s="94">
        <f t="shared" si="14"/>
        <v>0.02</v>
      </c>
      <c r="O230" s="92" t="str">
        <f t="shared" si="15"/>
        <v>Unique</v>
      </c>
      <c r="P230" s="94">
        <f t="shared" si="13"/>
        <v>8</v>
      </c>
    </row>
    <row r="231" spans="1:16">
      <c r="A231" s="115">
        <v>3101229</v>
      </c>
      <c r="B231" s="85" t="s">
        <v>287</v>
      </c>
      <c r="C231" s="96" t="s">
        <v>264</v>
      </c>
      <c r="D231" s="85" t="s">
        <v>12</v>
      </c>
      <c r="E231" s="96" t="s">
        <v>13</v>
      </c>
      <c r="F231" s="96" t="s">
        <v>20</v>
      </c>
      <c r="G231" s="85" t="s">
        <v>21</v>
      </c>
      <c r="H231" s="98">
        <v>46203</v>
      </c>
      <c r="I231" s="85">
        <v>410000</v>
      </c>
      <c r="J231" s="96">
        <v>2</v>
      </c>
      <c r="K231" s="106">
        <v>77</v>
      </c>
      <c r="L231" s="94" t="str" cm="1">
        <f t="array" ref="L231">_xlfn.IFS(J231&lt;2,"Fresher",J231&lt;=3,"Mid Level",J231&gt;3,"Experienced")</f>
        <v>Mid Level</v>
      </c>
      <c r="M231" s="90" t="str" cm="1">
        <f t="array" ref="M231">_xlfn.IFS(I231&gt;=600000,"High",I231&gt;=450000,"Medium",I231&lt;450000,"Low")</f>
        <v>Low</v>
      </c>
      <c r="N231" s="94">
        <f t="shared" si="14"/>
        <v>0.05</v>
      </c>
      <c r="O231" s="92" t="str">
        <f t="shared" si="15"/>
        <v>Unique</v>
      </c>
      <c r="P231" s="94">
        <f t="shared" si="13"/>
        <v>6</v>
      </c>
    </row>
    <row r="232" spans="1:16">
      <c r="A232" s="115">
        <v>3101230</v>
      </c>
      <c r="B232" s="85" t="s">
        <v>310</v>
      </c>
      <c r="C232" s="96" t="s">
        <v>268</v>
      </c>
      <c r="D232" s="85" t="s">
        <v>28</v>
      </c>
      <c r="E232" s="96" t="s">
        <v>29</v>
      </c>
      <c r="F232" s="96" t="s">
        <v>24</v>
      </c>
      <c r="G232" s="85" t="s">
        <v>256</v>
      </c>
      <c r="H232" s="98">
        <v>46226</v>
      </c>
      <c r="I232" s="85">
        <v>445000</v>
      </c>
      <c r="J232" s="96">
        <v>4</v>
      </c>
      <c r="K232" s="106">
        <v>72</v>
      </c>
      <c r="L232" s="94" t="str" cm="1">
        <f t="array" ref="L232">_xlfn.IFS(J232&lt;2,"Fresher",J232&lt;=3,"Mid Level",J232&gt;3,"Experienced")</f>
        <v>Experienced</v>
      </c>
      <c r="M232" s="90" t="str" cm="1">
        <f t="array" ref="M232">_xlfn.IFS(I232&gt;=600000,"High",I232&gt;=450000,"Medium",I232&lt;450000,"Low")</f>
        <v>Low</v>
      </c>
      <c r="N232" s="94">
        <f t="shared" si="14"/>
        <v>0.02</v>
      </c>
      <c r="O232" s="92" t="str">
        <f t="shared" si="15"/>
        <v>Unique</v>
      </c>
      <c r="P232" s="94">
        <f t="shared" si="13"/>
        <v>7</v>
      </c>
    </row>
    <row r="233" spans="1:16">
      <c r="A233" s="115">
        <v>3101231</v>
      </c>
      <c r="B233" s="85" t="s">
        <v>48</v>
      </c>
      <c r="C233" s="96" t="s">
        <v>260</v>
      </c>
      <c r="D233" s="85" t="s">
        <v>18</v>
      </c>
      <c r="E233" s="96" t="s">
        <v>19</v>
      </c>
      <c r="F233" s="96" t="s">
        <v>14</v>
      </c>
      <c r="G233" s="85" t="s">
        <v>15</v>
      </c>
      <c r="H233" s="98">
        <v>46175</v>
      </c>
      <c r="I233" s="85">
        <v>350000</v>
      </c>
      <c r="J233" s="96">
        <v>3</v>
      </c>
      <c r="K233" s="106">
        <v>90</v>
      </c>
      <c r="L233" s="94" t="str" cm="1">
        <f t="array" ref="L233">_xlfn.IFS(J233&lt;2,"Fresher",J233&lt;=3,"Mid Level",J233&gt;3,"Experienced")</f>
        <v>Mid Level</v>
      </c>
      <c r="M233" s="90" t="str" cm="1">
        <f t="array" ref="M233">_xlfn.IFS(I233&gt;=600000,"High",I233&gt;=450000,"Medium",I233&lt;450000,"Low")</f>
        <v>Low</v>
      </c>
      <c r="N233" s="94">
        <f t="shared" si="14"/>
        <v>0.02</v>
      </c>
      <c r="O233" s="92" t="str">
        <f t="shared" si="15"/>
        <v>Unique</v>
      </c>
      <c r="P233" s="94">
        <f t="shared" si="13"/>
        <v>6</v>
      </c>
    </row>
    <row r="234" spans="1:16">
      <c r="A234" s="115">
        <v>3101232</v>
      </c>
      <c r="B234" s="85" t="s">
        <v>313</v>
      </c>
      <c r="C234" s="96" t="s">
        <v>260</v>
      </c>
      <c r="D234" s="85" t="s">
        <v>12</v>
      </c>
      <c r="E234" s="96" t="s">
        <v>265</v>
      </c>
      <c r="F234" s="96" t="s">
        <v>20</v>
      </c>
      <c r="G234" s="85" t="s">
        <v>21</v>
      </c>
      <c r="H234" s="98">
        <v>46183</v>
      </c>
      <c r="I234" s="85">
        <v>505000</v>
      </c>
      <c r="J234" s="96">
        <v>4</v>
      </c>
      <c r="K234" s="106">
        <v>74</v>
      </c>
      <c r="L234" s="94" t="str" cm="1">
        <f t="array" ref="L234">_xlfn.IFS(J234&lt;2,"Fresher",J234&lt;=3,"Mid Level",J234&gt;3,"Experienced")</f>
        <v>Experienced</v>
      </c>
      <c r="M234" s="90" t="str" cm="1">
        <f t="array" ref="M234">_xlfn.IFS(I234&gt;=600000,"High",I234&gt;=450000,"Medium",I234&lt;450000,"Low")</f>
        <v>Medium</v>
      </c>
      <c r="N234" s="94">
        <f t="shared" si="14"/>
        <v>0.05</v>
      </c>
      <c r="O234" s="92" t="str">
        <f t="shared" si="15"/>
        <v>Unique</v>
      </c>
      <c r="P234" s="94">
        <f t="shared" si="13"/>
        <v>6</v>
      </c>
    </row>
    <row r="235" spans="1:16">
      <c r="A235" s="115">
        <v>3101233</v>
      </c>
      <c r="B235" s="85" t="s">
        <v>277</v>
      </c>
      <c r="C235" s="96" t="s">
        <v>27</v>
      </c>
      <c r="D235" s="85" t="s">
        <v>12</v>
      </c>
      <c r="E235" s="96" t="s">
        <v>13</v>
      </c>
      <c r="F235" s="96" t="s">
        <v>24</v>
      </c>
      <c r="G235" s="85" t="s">
        <v>25</v>
      </c>
      <c r="H235" s="98">
        <v>46224</v>
      </c>
      <c r="I235" s="85">
        <v>580000</v>
      </c>
      <c r="J235" s="96">
        <v>1</v>
      </c>
      <c r="K235" s="106">
        <v>85</v>
      </c>
      <c r="L235" s="94" t="str" cm="1">
        <f t="array" ref="L235">_xlfn.IFS(J235&lt;2,"Fresher",J235&lt;=3,"Mid Level",J235&gt;3,"Experienced")</f>
        <v>Fresher</v>
      </c>
      <c r="M235" s="90" t="str" cm="1">
        <f t="array" ref="M235">_xlfn.IFS(I235&gt;=600000,"High",I235&gt;=450000,"Medium",I235&lt;450000,"Low")</f>
        <v>Medium</v>
      </c>
      <c r="N235" s="94">
        <f t="shared" si="14"/>
        <v>0.02</v>
      </c>
      <c r="O235" s="92" t="str">
        <f t="shared" si="15"/>
        <v>Unique</v>
      </c>
      <c r="P235" s="94">
        <f t="shared" si="13"/>
        <v>7</v>
      </c>
    </row>
    <row r="236" spans="1:16">
      <c r="A236" s="115">
        <v>3101234</v>
      </c>
      <c r="B236" s="85" t="s">
        <v>259</v>
      </c>
      <c r="C236" s="96" t="s">
        <v>11</v>
      </c>
      <c r="D236" s="85" t="s">
        <v>32</v>
      </c>
      <c r="E236" s="96" t="s">
        <v>300</v>
      </c>
      <c r="F236" s="96" t="s">
        <v>34</v>
      </c>
      <c r="G236" s="85" t="s">
        <v>15</v>
      </c>
      <c r="H236" s="98">
        <v>46186</v>
      </c>
      <c r="I236" s="85">
        <v>315000</v>
      </c>
      <c r="J236" s="96">
        <v>4</v>
      </c>
      <c r="K236" s="106">
        <v>94</v>
      </c>
      <c r="L236" s="94" t="str" cm="1">
        <f t="array" ref="L236">_xlfn.IFS(J236&lt;2,"Fresher",J236&lt;=3,"Mid Level",J236&gt;3,"Experienced")</f>
        <v>Experienced</v>
      </c>
      <c r="M236" s="90" t="str" cm="1">
        <f t="array" ref="M236">_xlfn.IFS(I236&gt;=600000,"High",I236&gt;=450000,"Medium",I236&lt;450000,"Low")</f>
        <v>Low</v>
      </c>
      <c r="N236" s="94">
        <f t="shared" si="14"/>
        <v>0.01</v>
      </c>
      <c r="O236" s="92" t="str">
        <f t="shared" si="15"/>
        <v>Unique</v>
      </c>
      <c r="P236" s="94">
        <f t="shared" si="13"/>
        <v>6</v>
      </c>
    </row>
    <row r="237" spans="1:16">
      <c r="A237" s="115">
        <v>3101235</v>
      </c>
      <c r="B237" s="85" t="s">
        <v>301</v>
      </c>
      <c r="C237" s="96" t="s">
        <v>11</v>
      </c>
      <c r="D237" s="85" t="s">
        <v>32</v>
      </c>
      <c r="E237" s="96" t="s">
        <v>33</v>
      </c>
      <c r="F237" s="96" t="s">
        <v>34</v>
      </c>
      <c r="G237" s="85" t="s">
        <v>15</v>
      </c>
      <c r="H237" s="98">
        <v>46160</v>
      </c>
      <c r="I237" s="85">
        <v>315000</v>
      </c>
      <c r="J237" s="96">
        <v>5</v>
      </c>
      <c r="K237" s="106">
        <v>68</v>
      </c>
      <c r="L237" s="94" t="str" cm="1">
        <f t="array" ref="L237">_xlfn.IFS(J237&lt;2,"Fresher",J237&lt;=3,"Mid Level",J237&gt;3,"Experienced")</f>
        <v>Experienced</v>
      </c>
      <c r="M237" s="90" t="str" cm="1">
        <f t="array" ref="M237">_xlfn.IFS(I237&gt;=600000,"High",I237&gt;=450000,"Medium",I237&lt;450000,"Low")</f>
        <v>Low</v>
      </c>
      <c r="N237" s="94">
        <f t="shared" si="14"/>
        <v>0.01</v>
      </c>
      <c r="O237" s="92" t="str">
        <f t="shared" si="15"/>
        <v>Unique</v>
      </c>
      <c r="P237" s="94">
        <f t="shared" si="13"/>
        <v>5</v>
      </c>
    </row>
    <row r="238" spans="1:16">
      <c r="A238" s="115">
        <v>3101236</v>
      </c>
      <c r="B238" s="85" t="s">
        <v>296</v>
      </c>
      <c r="C238" s="96" t="s">
        <v>11</v>
      </c>
      <c r="D238" s="85" t="s">
        <v>12</v>
      </c>
      <c r="E238" s="96" t="s">
        <v>261</v>
      </c>
      <c r="F238" s="96" t="s">
        <v>14</v>
      </c>
      <c r="G238" s="85" t="s">
        <v>21</v>
      </c>
      <c r="H238" s="98">
        <v>46263</v>
      </c>
      <c r="I238" s="85">
        <v>435000</v>
      </c>
      <c r="J238" s="96">
        <v>4</v>
      </c>
      <c r="K238" s="106">
        <v>87</v>
      </c>
      <c r="L238" s="94" t="str" cm="1">
        <f t="array" ref="L238">_xlfn.IFS(J238&lt;2,"Fresher",J238&lt;=3,"Mid Level",J238&gt;3,"Experienced")</f>
        <v>Experienced</v>
      </c>
      <c r="M238" s="90" t="str" cm="1">
        <f t="array" ref="M238">_xlfn.IFS(I238&gt;=600000,"High",I238&gt;=450000,"Medium",I238&lt;450000,"Low")</f>
        <v>Low</v>
      </c>
      <c r="N238" s="94">
        <f t="shared" si="14"/>
        <v>0.02</v>
      </c>
      <c r="O238" s="92" t="str">
        <f t="shared" si="15"/>
        <v>Unique</v>
      </c>
      <c r="P238" s="94">
        <f t="shared" si="13"/>
        <v>8</v>
      </c>
    </row>
    <row r="239" spans="1:16">
      <c r="A239" s="115">
        <v>3101237</v>
      </c>
      <c r="B239" s="85" t="s">
        <v>278</v>
      </c>
      <c r="C239" s="96" t="s">
        <v>38</v>
      </c>
      <c r="D239" s="85" t="s">
        <v>12</v>
      </c>
      <c r="E239" s="96" t="s">
        <v>265</v>
      </c>
      <c r="F239" s="96" t="s">
        <v>24</v>
      </c>
      <c r="G239" s="85" t="s">
        <v>21</v>
      </c>
      <c r="H239" s="98">
        <v>46190</v>
      </c>
      <c r="I239" s="85">
        <v>775000</v>
      </c>
      <c r="J239" s="96">
        <v>3</v>
      </c>
      <c r="K239" s="106">
        <v>82</v>
      </c>
      <c r="L239" s="94" t="str" cm="1">
        <f t="array" ref="L239">_xlfn.IFS(J239&lt;2,"Fresher",J239&lt;=3,"Mid Level",J239&gt;3,"Experienced")</f>
        <v>Mid Level</v>
      </c>
      <c r="M239" s="90" t="str" cm="1">
        <f t="array" ref="M239">_xlfn.IFS(I239&gt;=600000,"High",I239&gt;=450000,"Medium",I239&lt;450000,"Low")</f>
        <v>High</v>
      </c>
      <c r="N239" s="94">
        <f t="shared" si="14"/>
        <v>0.02</v>
      </c>
      <c r="O239" s="92" t="str">
        <f t="shared" si="15"/>
        <v>Unique</v>
      </c>
      <c r="P239" s="94">
        <f t="shared" si="13"/>
        <v>6</v>
      </c>
    </row>
    <row r="240" spans="1:16">
      <c r="A240" s="115">
        <v>3101238</v>
      </c>
      <c r="B240" s="85" t="s">
        <v>257</v>
      </c>
      <c r="C240" s="96" t="s">
        <v>258</v>
      </c>
      <c r="D240" s="85" t="s">
        <v>32</v>
      </c>
      <c r="E240" s="96" t="s">
        <v>300</v>
      </c>
      <c r="F240" s="96" t="s">
        <v>24</v>
      </c>
      <c r="G240" s="85" t="s">
        <v>256</v>
      </c>
      <c r="H240" s="98">
        <v>46265</v>
      </c>
      <c r="I240" s="85">
        <v>430000</v>
      </c>
      <c r="J240" s="96">
        <v>4</v>
      </c>
      <c r="K240" s="106">
        <v>76</v>
      </c>
      <c r="L240" s="94" t="str" cm="1">
        <f t="array" ref="L240">_xlfn.IFS(J240&lt;2,"Fresher",J240&lt;=3,"Mid Level",J240&gt;3,"Experienced")</f>
        <v>Experienced</v>
      </c>
      <c r="M240" s="90" t="str" cm="1">
        <f t="array" ref="M240">_xlfn.IFS(I240&gt;=600000,"High",I240&gt;=450000,"Medium",I240&lt;450000,"Low")</f>
        <v>Low</v>
      </c>
      <c r="N240" s="94">
        <f t="shared" si="14"/>
        <v>0.02</v>
      </c>
      <c r="O240" s="92" t="str">
        <f t="shared" si="15"/>
        <v>Unique</v>
      </c>
      <c r="P240" s="94">
        <f t="shared" si="13"/>
        <v>8</v>
      </c>
    </row>
    <row r="241" spans="1:16">
      <c r="A241" s="115">
        <v>3101239</v>
      </c>
      <c r="B241" s="85" t="s">
        <v>262</v>
      </c>
      <c r="C241" s="96" t="s">
        <v>268</v>
      </c>
      <c r="D241" s="85" t="s">
        <v>28</v>
      </c>
      <c r="E241" s="96" t="s">
        <v>29</v>
      </c>
      <c r="F241" s="96" t="s">
        <v>14</v>
      </c>
      <c r="G241" s="85" t="s">
        <v>25</v>
      </c>
      <c r="H241" s="98">
        <v>46179</v>
      </c>
      <c r="I241" s="85">
        <v>485000</v>
      </c>
      <c r="J241" s="96">
        <v>0</v>
      </c>
      <c r="K241" s="106">
        <v>88</v>
      </c>
      <c r="L241" s="94" t="str" cm="1">
        <f t="array" ref="L241">_xlfn.IFS(J241&lt;2,"Fresher",J241&lt;=3,"Mid Level",J241&gt;3,"Experienced")</f>
        <v>Fresher</v>
      </c>
      <c r="M241" s="90" t="str" cm="1">
        <f t="array" ref="M241">_xlfn.IFS(I241&gt;=600000,"High",I241&gt;=450000,"Medium",I241&lt;450000,"Low")</f>
        <v>Medium</v>
      </c>
      <c r="N241" s="94">
        <f t="shared" si="14"/>
        <v>0.02</v>
      </c>
      <c r="O241" s="92" t="str">
        <f t="shared" si="15"/>
        <v>Unique</v>
      </c>
      <c r="P241" s="94">
        <f t="shared" si="13"/>
        <v>6</v>
      </c>
    </row>
    <row r="242" spans="1:16">
      <c r="A242" s="115">
        <v>3101240</v>
      </c>
      <c r="B242" s="85" t="s">
        <v>26</v>
      </c>
      <c r="C242" s="96" t="s">
        <v>17</v>
      </c>
      <c r="D242" s="85" t="s">
        <v>12</v>
      </c>
      <c r="E242" s="96" t="s">
        <v>36</v>
      </c>
      <c r="F242" s="96" t="s">
        <v>14</v>
      </c>
      <c r="G242" s="85" t="s">
        <v>15</v>
      </c>
      <c r="H242" s="98">
        <v>46233</v>
      </c>
      <c r="I242" s="85">
        <v>535000</v>
      </c>
      <c r="J242" s="96">
        <v>3</v>
      </c>
      <c r="K242" s="106">
        <v>91</v>
      </c>
      <c r="L242" s="94" t="str" cm="1">
        <f t="array" ref="L242">_xlfn.IFS(J242&lt;2,"Fresher",J242&lt;=3,"Mid Level",J242&gt;3,"Experienced")</f>
        <v>Mid Level</v>
      </c>
      <c r="M242" s="90" t="str" cm="1">
        <f t="array" ref="M242">_xlfn.IFS(I242&gt;=600000,"High",I242&gt;=450000,"Medium",I242&lt;450000,"Low")</f>
        <v>Medium</v>
      </c>
      <c r="N242" s="94">
        <f t="shared" si="14"/>
        <v>0.02</v>
      </c>
      <c r="O242" s="92" t="str">
        <f t="shared" si="15"/>
        <v>Unique</v>
      </c>
      <c r="P242" s="94">
        <f t="shared" si="13"/>
        <v>7</v>
      </c>
    </row>
    <row r="243" spans="1:16">
      <c r="A243" s="115">
        <v>3101241</v>
      </c>
      <c r="B243" s="85" t="s">
        <v>299</v>
      </c>
      <c r="C243" s="96" t="s">
        <v>11</v>
      </c>
      <c r="D243" s="85" t="s">
        <v>12</v>
      </c>
      <c r="E243" s="96" t="s">
        <v>13</v>
      </c>
      <c r="F243" s="96" t="s">
        <v>24</v>
      </c>
      <c r="G243" s="85" t="s">
        <v>15</v>
      </c>
      <c r="H243" s="98">
        <v>46284</v>
      </c>
      <c r="I243" s="85">
        <v>620000</v>
      </c>
      <c r="J243" s="96">
        <v>3</v>
      </c>
      <c r="K243" s="106">
        <v>69</v>
      </c>
      <c r="L243" s="94" t="str" cm="1">
        <f t="array" ref="L243">_xlfn.IFS(J243&lt;2,"Fresher",J243&lt;=3,"Mid Level",J243&gt;3,"Experienced")</f>
        <v>Mid Level</v>
      </c>
      <c r="M243" s="90" t="str" cm="1">
        <f t="array" ref="M243">_xlfn.IFS(I243&gt;=600000,"High",I243&gt;=450000,"Medium",I243&lt;450000,"Low")</f>
        <v>High</v>
      </c>
      <c r="N243" s="94">
        <f t="shared" si="14"/>
        <v>0.02</v>
      </c>
      <c r="O243" s="92" t="str">
        <f t="shared" si="15"/>
        <v>Unique</v>
      </c>
      <c r="P243" s="94">
        <f t="shared" si="13"/>
        <v>9</v>
      </c>
    </row>
    <row r="244" spans="1:16">
      <c r="A244" s="115">
        <v>3101242</v>
      </c>
      <c r="B244" s="85" t="s">
        <v>310</v>
      </c>
      <c r="C244" s="96" t="s">
        <v>264</v>
      </c>
      <c r="D244" s="85" t="s">
        <v>12</v>
      </c>
      <c r="E244" s="96" t="s">
        <v>265</v>
      </c>
      <c r="F244" s="96" t="s">
        <v>34</v>
      </c>
      <c r="G244" s="85" t="s">
        <v>15</v>
      </c>
      <c r="H244" s="98">
        <v>46270</v>
      </c>
      <c r="I244" s="85">
        <v>650000</v>
      </c>
      <c r="J244" s="96">
        <v>2</v>
      </c>
      <c r="K244" s="106">
        <v>95</v>
      </c>
      <c r="L244" s="94" t="str" cm="1">
        <f t="array" ref="L244">_xlfn.IFS(J244&lt;2,"Fresher",J244&lt;=3,"Mid Level",J244&gt;3,"Experienced")</f>
        <v>Mid Level</v>
      </c>
      <c r="M244" s="90" t="str" cm="1">
        <f t="array" ref="M244">_xlfn.IFS(I244&gt;=600000,"High",I244&gt;=450000,"Medium",I244&lt;450000,"Low")</f>
        <v>High</v>
      </c>
      <c r="N244" s="94">
        <f t="shared" si="14"/>
        <v>0.01</v>
      </c>
      <c r="O244" s="92" t="str">
        <f t="shared" si="15"/>
        <v>Unique</v>
      </c>
      <c r="P244" s="94">
        <f t="shared" si="13"/>
        <v>9</v>
      </c>
    </row>
    <row r="245" spans="1:16">
      <c r="A245" s="115">
        <v>3101243</v>
      </c>
      <c r="B245" s="85" t="s">
        <v>252</v>
      </c>
      <c r="C245" s="96" t="s">
        <v>264</v>
      </c>
      <c r="D245" s="85" t="s">
        <v>12</v>
      </c>
      <c r="E245" s="96" t="s">
        <v>13</v>
      </c>
      <c r="F245" s="96" t="s">
        <v>14</v>
      </c>
      <c r="G245" s="85" t="s">
        <v>15</v>
      </c>
      <c r="H245" s="98">
        <v>46237</v>
      </c>
      <c r="I245" s="85">
        <v>395000</v>
      </c>
      <c r="J245" s="96">
        <v>0</v>
      </c>
      <c r="K245" s="106">
        <v>73</v>
      </c>
      <c r="L245" s="94" t="str" cm="1">
        <f t="array" ref="L245">_xlfn.IFS(J245&lt;2,"Fresher",J245&lt;=3,"Mid Level",J245&gt;3,"Experienced")</f>
        <v>Fresher</v>
      </c>
      <c r="M245" s="90" t="str" cm="1">
        <f t="array" ref="M245">_xlfn.IFS(I245&gt;=600000,"High",I245&gt;=450000,"Medium",I245&lt;450000,"Low")</f>
        <v>Low</v>
      </c>
      <c r="N245" s="94">
        <f t="shared" si="14"/>
        <v>0.02</v>
      </c>
      <c r="O245" s="92" t="str">
        <f t="shared" si="15"/>
        <v>Unique</v>
      </c>
      <c r="P245" s="94">
        <f t="shared" si="13"/>
        <v>8</v>
      </c>
    </row>
    <row r="246" spans="1:16">
      <c r="A246" s="115">
        <v>3101244</v>
      </c>
      <c r="B246" s="85" t="s">
        <v>294</v>
      </c>
      <c r="C246" s="96" t="s">
        <v>258</v>
      </c>
      <c r="D246" s="85" t="s">
        <v>12</v>
      </c>
      <c r="E246" s="96" t="s">
        <v>265</v>
      </c>
      <c r="F246" s="96" t="s">
        <v>20</v>
      </c>
      <c r="G246" s="85" t="s">
        <v>256</v>
      </c>
      <c r="H246" s="98">
        <v>46266</v>
      </c>
      <c r="I246" s="85">
        <v>475000</v>
      </c>
      <c r="J246" s="96">
        <v>0</v>
      </c>
      <c r="K246" s="106">
        <v>84</v>
      </c>
      <c r="L246" s="94" t="str" cm="1">
        <f t="array" ref="L246">_xlfn.IFS(J246&lt;2,"Fresher",J246&lt;=3,"Mid Level",J246&gt;3,"Experienced")</f>
        <v>Fresher</v>
      </c>
      <c r="M246" s="90" t="str" cm="1">
        <f t="array" ref="M246">_xlfn.IFS(I246&gt;=600000,"High",I246&gt;=450000,"Medium",I246&lt;450000,"Low")</f>
        <v>Medium</v>
      </c>
      <c r="N246" s="94">
        <f t="shared" si="14"/>
        <v>0.05</v>
      </c>
      <c r="O246" s="92" t="str">
        <f t="shared" si="15"/>
        <v>Unique</v>
      </c>
      <c r="P246" s="94">
        <f t="shared" si="13"/>
        <v>9</v>
      </c>
    </row>
    <row r="247" spans="1:16">
      <c r="A247" s="115">
        <v>3101245</v>
      </c>
      <c r="B247" s="85" t="s">
        <v>45</v>
      </c>
      <c r="C247" s="96" t="s">
        <v>260</v>
      </c>
      <c r="D247" s="85" t="s">
        <v>12</v>
      </c>
      <c r="E247" s="96" t="s">
        <v>265</v>
      </c>
      <c r="F247" s="96" t="s">
        <v>24</v>
      </c>
      <c r="G247" s="85" t="s">
        <v>25</v>
      </c>
      <c r="H247" s="98">
        <v>46163</v>
      </c>
      <c r="I247" s="85">
        <v>615000</v>
      </c>
      <c r="J247" s="96">
        <v>3</v>
      </c>
      <c r="K247" s="106">
        <v>79</v>
      </c>
      <c r="L247" s="94" t="str" cm="1">
        <f t="array" ref="L247">_xlfn.IFS(J247&lt;2,"Fresher",J247&lt;=3,"Mid Level",J247&gt;3,"Experienced")</f>
        <v>Mid Level</v>
      </c>
      <c r="M247" s="90" t="str" cm="1">
        <f t="array" ref="M247">_xlfn.IFS(I247&gt;=600000,"High",I247&gt;=450000,"Medium",I247&lt;450000,"Low")</f>
        <v>High</v>
      </c>
      <c r="N247" s="94">
        <f t="shared" si="14"/>
        <v>0.02</v>
      </c>
      <c r="O247" s="92" t="str">
        <f t="shared" si="15"/>
        <v>Unique</v>
      </c>
      <c r="P247" s="94">
        <f t="shared" si="13"/>
        <v>5</v>
      </c>
    </row>
    <row r="248" spans="1:16">
      <c r="A248" s="115">
        <v>3101246</v>
      </c>
      <c r="B248" s="85" t="s">
        <v>257</v>
      </c>
      <c r="C248" s="96" t="s">
        <v>11</v>
      </c>
      <c r="D248" s="85" t="s">
        <v>18</v>
      </c>
      <c r="E248" s="96" t="s">
        <v>39</v>
      </c>
      <c r="F248" s="96" t="s">
        <v>20</v>
      </c>
      <c r="G248" s="85" t="s">
        <v>256</v>
      </c>
      <c r="H248" s="98">
        <v>46149</v>
      </c>
      <c r="I248" s="85">
        <v>420000</v>
      </c>
      <c r="J248" s="96">
        <v>0</v>
      </c>
      <c r="K248" s="106">
        <v>71</v>
      </c>
      <c r="L248" s="94" t="str" cm="1">
        <f t="array" ref="L248">_xlfn.IFS(J248&lt;2,"Fresher",J248&lt;=3,"Mid Level",J248&gt;3,"Experienced")</f>
        <v>Fresher</v>
      </c>
      <c r="M248" s="90" t="str" cm="1">
        <f t="array" ref="M248">_xlfn.IFS(I248&gt;=600000,"High",I248&gt;=450000,"Medium",I248&lt;450000,"Low")</f>
        <v>Low</v>
      </c>
      <c r="N248" s="94">
        <f t="shared" si="14"/>
        <v>0.05</v>
      </c>
      <c r="O248" s="92" t="str">
        <f t="shared" si="15"/>
        <v>Unique</v>
      </c>
      <c r="P248" s="94">
        <f t="shared" si="13"/>
        <v>5</v>
      </c>
    </row>
    <row r="249" spans="1:16">
      <c r="A249" s="115">
        <v>3101247</v>
      </c>
      <c r="B249" s="85" t="s">
        <v>279</v>
      </c>
      <c r="C249" s="96" t="s">
        <v>38</v>
      </c>
      <c r="D249" s="85" t="s">
        <v>12</v>
      </c>
      <c r="E249" s="96" t="s">
        <v>23</v>
      </c>
      <c r="F249" s="96" t="s">
        <v>20</v>
      </c>
      <c r="G249" s="85" t="s">
        <v>15</v>
      </c>
      <c r="H249" s="98">
        <v>46194</v>
      </c>
      <c r="I249" s="85">
        <v>435000</v>
      </c>
      <c r="J249" s="96">
        <v>5</v>
      </c>
      <c r="K249" s="106">
        <v>89</v>
      </c>
      <c r="L249" s="94" t="str" cm="1">
        <f t="array" ref="L249">_xlfn.IFS(J249&lt;2,"Fresher",J249&lt;=3,"Mid Level",J249&gt;3,"Experienced")</f>
        <v>Experienced</v>
      </c>
      <c r="M249" s="90" t="str" cm="1">
        <f t="array" ref="M249">_xlfn.IFS(I249&gt;=600000,"High",I249&gt;=450000,"Medium",I249&lt;450000,"Low")</f>
        <v>Low</v>
      </c>
      <c r="N249" s="94">
        <f t="shared" si="14"/>
        <v>0.05</v>
      </c>
      <c r="O249" s="92" t="str">
        <f t="shared" si="15"/>
        <v>Unique</v>
      </c>
      <c r="P249" s="94">
        <f t="shared" si="13"/>
        <v>6</v>
      </c>
    </row>
    <row r="250" spans="1:16">
      <c r="A250" s="115">
        <v>3101248</v>
      </c>
      <c r="B250" s="85" t="s">
        <v>292</v>
      </c>
      <c r="C250" s="96" t="s">
        <v>27</v>
      </c>
      <c r="D250" s="85" t="s">
        <v>12</v>
      </c>
      <c r="E250" s="96" t="s">
        <v>303</v>
      </c>
      <c r="F250" s="96" t="s">
        <v>14</v>
      </c>
      <c r="G250" s="85" t="s">
        <v>15</v>
      </c>
      <c r="H250" s="98">
        <v>46235</v>
      </c>
      <c r="I250" s="85">
        <v>500000</v>
      </c>
      <c r="J250" s="96">
        <v>1</v>
      </c>
      <c r="K250" s="106">
        <v>67</v>
      </c>
      <c r="L250" s="94" t="str" cm="1">
        <f t="array" ref="L250">_xlfn.IFS(J250&lt;2,"Fresher",J250&lt;=3,"Mid Level",J250&gt;3,"Experienced")</f>
        <v>Fresher</v>
      </c>
      <c r="M250" s="90" t="str" cm="1">
        <f t="array" ref="M250">_xlfn.IFS(I250&gt;=600000,"High",I250&gt;=450000,"Medium",I250&lt;450000,"Low")</f>
        <v>Medium</v>
      </c>
      <c r="N250" s="94">
        <f t="shared" si="14"/>
        <v>0.02</v>
      </c>
      <c r="O250" s="92" t="str">
        <f t="shared" si="15"/>
        <v>Unique</v>
      </c>
      <c r="P250" s="94">
        <f t="shared" si="13"/>
        <v>8</v>
      </c>
    </row>
    <row r="251" spans="1:16">
      <c r="A251" s="115">
        <v>3101249</v>
      </c>
      <c r="B251" s="85" t="s">
        <v>253</v>
      </c>
      <c r="C251" s="96" t="s">
        <v>17</v>
      </c>
      <c r="D251" s="85" t="s">
        <v>12</v>
      </c>
      <c r="E251" s="96" t="s">
        <v>23</v>
      </c>
      <c r="F251" s="96" t="s">
        <v>34</v>
      </c>
      <c r="G251" s="85" t="s">
        <v>21</v>
      </c>
      <c r="H251" s="98">
        <v>46180</v>
      </c>
      <c r="I251" s="85">
        <v>580000</v>
      </c>
      <c r="J251" s="96">
        <v>4</v>
      </c>
      <c r="K251" s="106">
        <v>86</v>
      </c>
      <c r="L251" s="94" t="str" cm="1">
        <f t="array" ref="L251">_xlfn.IFS(J251&lt;2,"Fresher",J251&lt;=3,"Mid Level",J251&gt;3,"Experienced")</f>
        <v>Experienced</v>
      </c>
      <c r="M251" s="90" t="str" cm="1">
        <f t="array" ref="M251">_xlfn.IFS(I251&gt;=600000,"High",I251&gt;=450000,"Medium",I251&lt;450000,"Low")</f>
        <v>Medium</v>
      </c>
      <c r="N251" s="94">
        <f t="shared" si="14"/>
        <v>0.01</v>
      </c>
      <c r="O251" s="92" t="str">
        <f t="shared" si="15"/>
        <v>Unique</v>
      </c>
      <c r="P251" s="94">
        <f t="shared" si="13"/>
        <v>6</v>
      </c>
    </row>
    <row r="252" spans="1:16">
      <c r="A252" s="115">
        <v>3101250</v>
      </c>
      <c r="B252" s="85" t="s">
        <v>254</v>
      </c>
      <c r="C252" s="96" t="s">
        <v>38</v>
      </c>
      <c r="D252" s="85" t="s">
        <v>12</v>
      </c>
      <c r="E252" s="96" t="s">
        <v>261</v>
      </c>
      <c r="F252" s="96" t="s">
        <v>14</v>
      </c>
      <c r="G252" s="85" t="s">
        <v>25</v>
      </c>
      <c r="H252" s="98">
        <v>46280</v>
      </c>
      <c r="I252" s="85">
        <v>675000</v>
      </c>
      <c r="J252" s="96">
        <v>1</v>
      </c>
      <c r="K252" s="106">
        <v>92</v>
      </c>
      <c r="L252" s="94" t="str" cm="1">
        <f t="array" ref="L252">_xlfn.IFS(J252&lt;2,"Fresher",J252&lt;=3,"Mid Level",J252&gt;3,"Experienced")</f>
        <v>Fresher</v>
      </c>
      <c r="M252" s="90" t="str" cm="1">
        <f t="array" ref="M252">_xlfn.IFS(I252&gt;=600000,"High",I252&gt;=450000,"Medium",I252&lt;450000,"Low")</f>
        <v>High</v>
      </c>
      <c r="N252" s="94">
        <f t="shared" si="14"/>
        <v>0.02</v>
      </c>
      <c r="O252" s="92" t="str">
        <f t="shared" si="15"/>
        <v>Unique</v>
      </c>
      <c r="P252" s="94">
        <f t="shared" si="13"/>
        <v>9</v>
      </c>
    </row>
    <row r="253" spans="1:16">
      <c r="A253" s="115">
        <v>3101251</v>
      </c>
      <c r="B253" s="85" t="s">
        <v>255</v>
      </c>
      <c r="C253" s="96" t="s">
        <v>258</v>
      </c>
      <c r="D253" s="85" t="s">
        <v>32</v>
      </c>
      <c r="E253" s="96" t="s">
        <v>300</v>
      </c>
      <c r="F253" s="96" t="s">
        <v>14</v>
      </c>
      <c r="G253" s="85" t="s">
        <v>256</v>
      </c>
      <c r="H253" s="98">
        <v>46240</v>
      </c>
      <c r="I253" s="85">
        <v>395000</v>
      </c>
      <c r="J253" s="96">
        <v>1</v>
      </c>
      <c r="K253" s="106">
        <v>69</v>
      </c>
      <c r="L253" s="94" t="str" cm="1">
        <f t="array" ref="L253">_xlfn.IFS(J253&lt;2,"Fresher",J253&lt;=3,"Mid Level",J253&gt;3,"Experienced")</f>
        <v>Fresher</v>
      </c>
      <c r="M253" s="90" t="str" cm="1">
        <f t="array" ref="M253">_xlfn.IFS(I253&gt;=600000,"High",I253&gt;=450000,"Medium",I253&lt;450000,"Low")</f>
        <v>Low</v>
      </c>
      <c r="N253" s="94">
        <f t="shared" si="14"/>
        <v>0.02</v>
      </c>
      <c r="O253" s="92" t="str">
        <f t="shared" si="15"/>
        <v>Unique</v>
      </c>
      <c r="P253" s="94">
        <f t="shared" si="13"/>
        <v>8</v>
      </c>
    </row>
    <row r="254" spans="1:16">
      <c r="A254" s="115">
        <v>3101252</v>
      </c>
      <c r="B254" s="85" t="s">
        <v>254</v>
      </c>
      <c r="C254" s="96" t="s">
        <v>27</v>
      </c>
      <c r="D254" s="85" t="s">
        <v>12</v>
      </c>
      <c r="E254" s="96" t="s">
        <v>36</v>
      </c>
      <c r="F254" s="96" t="s">
        <v>24</v>
      </c>
      <c r="G254" s="85" t="s">
        <v>256</v>
      </c>
      <c r="H254" s="98">
        <v>46278</v>
      </c>
      <c r="I254" s="85">
        <v>740000</v>
      </c>
      <c r="J254" s="96">
        <v>5</v>
      </c>
      <c r="K254" s="106">
        <v>81</v>
      </c>
      <c r="L254" s="94" t="str" cm="1">
        <f t="array" ref="L254">_xlfn.IFS(J254&lt;2,"Fresher",J254&lt;=3,"Mid Level",J254&gt;3,"Experienced")</f>
        <v>Experienced</v>
      </c>
      <c r="M254" s="90" t="str" cm="1">
        <f t="array" ref="M254">_xlfn.IFS(I254&gt;=600000,"High",I254&gt;=450000,"Medium",I254&lt;450000,"Low")</f>
        <v>High</v>
      </c>
      <c r="N254" s="94">
        <f t="shared" si="14"/>
        <v>0.02</v>
      </c>
      <c r="O254" s="92" t="str">
        <f t="shared" si="15"/>
        <v>Unique</v>
      </c>
      <c r="P254" s="94">
        <f t="shared" si="13"/>
        <v>9</v>
      </c>
    </row>
    <row r="255" spans="1:16">
      <c r="A255" s="115">
        <v>3101253</v>
      </c>
      <c r="B255" s="85" t="s">
        <v>174</v>
      </c>
      <c r="C255" s="96" t="s">
        <v>268</v>
      </c>
      <c r="D255" s="85" t="s">
        <v>18</v>
      </c>
      <c r="E255" s="96" t="s">
        <v>19</v>
      </c>
      <c r="F255" s="96" t="s">
        <v>20</v>
      </c>
      <c r="G255" s="85" t="s">
        <v>21</v>
      </c>
      <c r="H255" s="98">
        <v>46156</v>
      </c>
      <c r="I255" s="85">
        <v>300000</v>
      </c>
      <c r="J255" s="96">
        <v>2</v>
      </c>
      <c r="K255" s="106">
        <v>94</v>
      </c>
      <c r="L255" s="94" t="str" cm="1">
        <f t="array" ref="L255">_xlfn.IFS(J255&lt;2,"Fresher",J255&lt;=3,"Mid Level",J255&gt;3,"Experienced")</f>
        <v>Mid Level</v>
      </c>
      <c r="M255" s="90" t="str" cm="1">
        <f t="array" ref="M255">_xlfn.IFS(I255&gt;=600000,"High",I255&gt;=450000,"Medium",I255&lt;450000,"Low")</f>
        <v>Low</v>
      </c>
      <c r="N255" s="94">
        <f t="shared" si="14"/>
        <v>0.05</v>
      </c>
      <c r="O255" s="92" t="str">
        <f t="shared" si="15"/>
        <v>Unique</v>
      </c>
      <c r="P255" s="94">
        <f t="shared" si="13"/>
        <v>5</v>
      </c>
    </row>
    <row r="256" spans="1:16">
      <c r="A256" s="115">
        <v>3101254</v>
      </c>
      <c r="B256" s="85" t="s">
        <v>257</v>
      </c>
      <c r="C256" s="96" t="s">
        <v>260</v>
      </c>
      <c r="D256" s="85" t="s">
        <v>12</v>
      </c>
      <c r="E256" s="96" t="s">
        <v>36</v>
      </c>
      <c r="F256" s="96" t="s">
        <v>34</v>
      </c>
      <c r="G256" s="85" t="s">
        <v>256</v>
      </c>
      <c r="H256" s="98">
        <v>46278</v>
      </c>
      <c r="I256" s="85">
        <v>705000</v>
      </c>
      <c r="J256" s="96">
        <v>5</v>
      </c>
      <c r="K256" s="106">
        <v>77</v>
      </c>
      <c r="L256" s="94" t="str" cm="1">
        <f t="array" ref="L256">_xlfn.IFS(J256&lt;2,"Fresher",J256&lt;=3,"Mid Level",J256&gt;3,"Experienced")</f>
        <v>Experienced</v>
      </c>
      <c r="M256" s="90" t="str" cm="1">
        <f t="array" ref="M256">_xlfn.IFS(I256&gt;=600000,"High",I256&gt;=450000,"Medium",I256&lt;450000,"Low")</f>
        <v>High</v>
      </c>
      <c r="N256" s="94">
        <f t="shared" si="14"/>
        <v>0.01</v>
      </c>
      <c r="O256" s="92" t="str">
        <f t="shared" si="15"/>
        <v>Unique</v>
      </c>
      <c r="P256" s="94">
        <f t="shared" si="13"/>
        <v>9</v>
      </c>
    </row>
    <row r="257" spans="1:16">
      <c r="A257" s="115">
        <v>3101255</v>
      </c>
      <c r="B257" s="85" t="s">
        <v>291</v>
      </c>
      <c r="C257" s="96" t="s">
        <v>27</v>
      </c>
      <c r="D257" s="85" t="s">
        <v>12</v>
      </c>
      <c r="E257" s="96" t="s">
        <v>261</v>
      </c>
      <c r="F257" s="96" t="s">
        <v>24</v>
      </c>
      <c r="G257" s="85" t="s">
        <v>25</v>
      </c>
      <c r="H257" s="98">
        <v>46255</v>
      </c>
      <c r="I257" s="85">
        <v>685000</v>
      </c>
      <c r="J257" s="96">
        <v>2</v>
      </c>
      <c r="K257" s="106">
        <v>72</v>
      </c>
      <c r="L257" s="94" t="str" cm="1">
        <f t="array" ref="L257">_xlfn.IFS(J257&lt;2,"Fresher",J257&lt;=3,"Mid Level",J257&gt;3,"Experienced")</f>
        <v>Mid Level</v>
      </c>
      <c r="M257" s="90" t="str" cm="1">
        <f t="array" ref="M257">_xlfn.IFS(I257&gt;=600000,"High",I257&gt;=450000,"Medium",I257&lt;450000,"Low")</f>
        <v>High</v>
      </c>
      <c r="N257" s="94">
        <f t="shared" si="14"/>
        <v>0.02</v>
      </c>
      <c r="O257" s="92" t="str">
        <f t="shared" si="15"/>
        <v>Unique</v>
      </c>
      <c r="P257" s="94">
        <f t="shared" si="13"/>
        <v>8</v>
      </c>
    </row>
    <row r="258" spans="1:16">
      <c r="A258" s="115">
        <v>3101256</v>
      </c>
      <c r="B258" s="85" t="s">
        <v>284</v>
      </c>
      <c r="C258" s="96" t="s">
        <v>27</v>
      </c>
      <c r="D258" s="85" t="s">
        <v>18</v>
      </c>
      <c r="E258" s="96" t="s">
        <v>39</v>
      </c>
      <c r="F258" s="96" t="s">
        <v>20</v>
      </c>
      <c r="G258" s="85" t="s">
        <v>21</v>
      </c>
      <c r="H258" s="98">
        <v>46258</v>
      </c>
      <c r="I258" s="85">
        <v>445000</v>
      </c>
      <c r="J258" s="96">
        <v>3</v>
      </c>
      <c r="K258" s="106">
        <v>90</v>
      </c>
      <c r="L258" s="94" t="str" cm="1">
        <f t="array" ref="L258">_xlfn.IFS(J258&lt;2,"Fresher",J258&lt;=3,"Mid Level",J258&gt;3,"Experienced")</f>
        <v>Mid Level</v>
      </c>
      <c r="M258" s="90" t="str" cm="1">
        <f t="array" ref="M258">_xlfn.IFS(I258&gt;=600000,"High",I258&gt;=450000,"Medium",I258&lt;450000,"Low")</f>
        <v>Low</v>
      </c>
      <c r="N258" s="94">
        <f t="shared" si="14"/>
        <v>0.05</v>
      </c>
      <c r="O258" s="92" t="str">
        <f t="shared" si="15"/>
        <v>Unique</v>
      </c>
      <c r="P258" s="94">
        <f t="shared" si="13"/>
        <v>8</v>
      </c>
    </row>
    <row r="259" spans="1:16">
      <c r="A259" s="115">
        <v>3101257</v>
      </c>
      <c r="B259" s="85" t="s">
        <v>266</v>
      </c>
      <c r="C259" s="96" t="s">
        <v>260</v>
      </c>
      <c r="D259" s="85" t="s">
        <v>32</v>
      </c>
      <c r="E259" s="96" t="s">
        <v>300</v>
      </c>
      <c r="F259" s="96" t="s">
        <v>20</v>
      </c>
      <c r="G259" s="85" t="s">
        <v>15</v>
      </c>
      <c r="H259" s="98">
        <v>46203</v>
      </c>
      <c r="I259" s="85">
        <v>395000</v>
      </c>
      <c r="J259" s="96">
        <v>3</v>
      </c>
      <c r="K259" s="106">
        <v>74</v>
      </c>
      <c r="L259" s="94" t="str" cm="1">
        <f t="array" ref="L259">_xlfn.IFS(J259&lt;2,"Fresher",J259&lt;=3,"Mid Level",J259&gt;3,"Experienced")</f>
        <v>Mid Level</v>
      </c>
      <c r="M259" s="90" t="str" cm="1">
        <f t="array" ref="M259">_xlfn.IFS(I259&gt;=600000,"High",I259&gt;=450000,"Medium",I259&lt;450000,"Low")</f>
        <v>Low</v>
      </c>
      <c r="N259" s="94">
        <f t="shared" si="14"/>
        <v>0.05</v>
      </c>
      <c r="O259" s="92" t="str">
        <f t="shared" si="15"/>
        <v>Unique</v>
      </c>
      <c r="P259" s="94">
        <f t="shared" ref="P259:P322" si="16">MONTH(H259)</f>
        <v>6</v>
      </c>
    </row>
    <row r="260" spans="1:16">
      <c r="A260" s="115">
        <v>3101258</v>
      </c>
      <c r="B260" s="85" t="s">
        <v>294</v>
      </c>
      <c r="C260" s="96" t="s">
        <v>264</v>
      </c>
      <c r="D260" s="85" t="s">
        <v>12</v>
      </c>
      <c r="E260" s="96" t="s">
        <v>303</v>
      </c>
      <c r="F260" s="96" t="s">
        <v>14</v>
      </c>
      <c r="G260" s="85" t="s">
        <v>21</v>
      </c>
      <c r="H260" s="98">
        <v>46245</v>
      </c>
      <c r="I260" s="85">
        <v>790000</v>
      </c>
      <c r="J260" s="96">
        <v>2</v>
      </c>
      <c r="K260" s="106">
        <v>85</v>
      </c>
      <c r="L260" s="94" t="str" cm="1">
        <f t="array" ref="L260">_xlfn.IFS(J260&lt;2,"Fresher",J260&lt;=3,"Mid Level",J260&gt;3,"Experienced")</f>
        <v>Mid Level</v>
      </c>
      <c r="M260" s="90" t="str" cm="1">
        <f t="array" ref="M260">_xlfn.IFS(I260&gt;=600000,"High",I260&gt;=450000,"Medium",I260&lt;450000,"Low")</f>
        <v>High</v>
      </c>
      <c r="N260" s="94">
        <f t="shared" ref="N260:N323" si="17">IF(F260="Naukri",2%,IF(F260="LinkedIn",2%,IF(F260="Employee Referral",5%,1%)))</f>
        <v>0.02</v>
      </c>
      <c r="O260" s="92" t="str">
        <f t="shared" ref="O260:O323" si="18">IF(COUNTIF($A$2:$A$478,A260)&gt;1,"Duplicate","Unique")</f>
        <v>Unique</v>
      </c>
      <c r="P260" s="94">
        <f t="shared" si="16"/>
        <v>8</v>
      </c>
    </row>
    <row r="261" spans="1:16">
      <c r="A261" s="115">
        <v>3101259</v>
      </c>
      <c r="B261" s="85" t="s">
        <v>273</v>
      </c>
      <c r="C261" s="96" t="s">
        <v>258</v>
      </c>
      <c r="D261" s="85" t="s">
        <v>12</v>
      </c>
      <c r="E261" s="96" t="s">
        <v>13</v>
      </c>
      <c r="F261" s="96" t="s">
        <v>34</v>
      </c>
      <c r="G261" s="85" t="s">
        <v>21</v>
      </c>
      <c r="H261" s="98">
        <v>46201</v>
      </c>
      <c r="I261" s="85">
        <v>445000</v>
      </c>
      <c r="J261" s="96">
        <v>1</v>
      </c>
      <c r="K261" s="106">
        <v>94</v>
      </c>
      <c r="L261" s="94" t="str" cm="1">
        <f t="array" ref="L261">_xlfn.IFS(J261&lt;2,"Fresher",J261&lt;=3,"Mid Level",J261&gt;3,"Experienced")</f>
        <v>Fresher</v>
      </c>
      <c r="M261" s="90" t="str" cm="1">
        <f t="array" ref="M261">_xlfn.IFS(I261&gt;=600000,"High",I261&gt;=450000,"Medium",I261&lt;450000,"Low")</f>
        <v>Low</v>
      </c>
      <c r="N261" s="94">
        <f t="shared" si="17"/>
        <v>0.01</v>
      </c>
      <c r="O261" s="92" t="str">
        <f t="shared" si="18"/>
        <v>Unique</v>
      </c>
      <c r="P261" s="94">
        <f t="shared" si="16"/>
        <v>6</v>
      </c>
    </row>
    <row r="262" spans="1:16">
      <c r="A262" s="115">
        <v>3101260</v>
      </c>
      <c r="B262" s="85" t="s">
        <v>301</v>
      </c>
      <c r="C262" s="96" t="s">
        <v>27</v>
      </c>
      <c r="D262" s="85" t="s">
        <v>28</v>
      </c>
      <c r="E262" s="96" t="s">
        <v>29</v>
      </c>
      <c r="F262" s="96" t="s">
        <v>20</v>
      </c>
      <c r="G262" s="85" t="s">
        <v>21</v>
      </c>
      <c r="H262" s="98">
        <v>46147</v>
      </c>
      <c r="I262" s="85">
        <v>490000</v>
      </c>
      <c r="J262" s="96">
        <v>4</v>
      </c>
      <c r="K262" s="106">
        <v>68</v>
      </c>
      <c r="L262" s="94" t="str" cm="1">
        <f t="array" ref="L262">_xlfn.IFS(J262&lt;2,"Fresher",J262&lt;=3,"Mid Level",J262&gt;3,"Experienced")</f>
        <v>Experienced</v>
      </c>
      <c r="M262" s="90" t="str" cm="1">
        <f t="array" ref="M262">_xlfn.IFS(I262&gt;=600000,"High",I262&gt;=450000,"Medium",I262&lt;450000,"Low")</f>
        <v>Medium</v>
      </c>
      <c r="N262" s="94">
        <f t="shared" si="17"/>
        <v>0.05</v>
      </c>
      <c r="O262" s="92" t="str">
        <f t="shared" si="18"/>
        <v>Unique</v>
      </c>
      <c r="P262" s="94">
        <f t="shared" si="16"/>
        <v>5</v>
      </c>
    </row>
    <row r="263" spans="1:16">
      <c r="A263" s="115">
        <v>3101261</v>
      </c>
      <c r="B263" s="85" t="s">
        <v>26</v>
      </c>
      <c r="C263" s="96" t="s">
        <v>260</v>
      </c>
      <c r="D263" s="85" t="s">
        <v>12</v>
      </c>
      <c r="E263" s="96" t="s">
        <v>261</v>
      </c>
      <c r="F263" s="96" t="s">
        <v>34</v>
      </c>
      <c r="G263" s="85" t="s">
        <v>21</v>
      </c>
      <c r="H263" s="98">
        <v>46223</v>
      </c>
      <c r="I263" s="85">
        <v>700000</v>
      </c>
      <c r="J263" s="96">
        <v>0</v>
      </c>
      <c r="K263" s="106">
        <v>87</v>
      </c>
      <c r="L263" s="94" t="str" cm="1">
        <f t="array" ref="L263">_xlfn.IFS(J263&lt;2,"Fresher",J263&lt;=3,"Mid Level",J263&gt;3,"Experienced")</f>
        <v>Fresher</v>
      </c>
      <c r="M263" s="90" t="str" cm="1">
        <f t="array" ref="M263">_xlfn.IFS(I263&gt;=600000,"High",I263&gt;=450000,"Medium",I263&lt;450000,"Low")</f>
        <v>High</v>
      </c>
      <c r="N263" s="94">
        <f t="shared" si="17"/>
        <v>0.01</v>
      </c>
      <c r="O263" s="92" t="str">
        <f t="shared" si="18"/>
        <v>Unique</v>
      </c>
      <c r="P263" s="94">
        <f t="shared" si="16"/>
        <v>7</v>
      </c>
    </row>
    <row r="264" spans="1:16">
      <c r="A264" s="115">
        <v>3101262</v>
      </c>
      <c r="B264" s="85" t="s">
        <v>293</v>
      </c>
      <c r="C264" s="96" t="s">
        <v>268</v>
      </c>
      <c r="D264" s="85" t="s">
        <v>12</v>
      </c>
      <c r="E264" s="96" t="s">
        <v>36</v>
      </c>
      <c r="F264" s="96" t="s">
        <v>14</v>
      </c>
      <c r="G264" s="85" t="s">
        <v>21</v>
      </c>
      <c r="H264" s="98">
        <v>46283</v>
      </c>
      <c r="I264" s="85">
        <v>580000</v>
      </c>
      <c r="J264" s="96">
        <v>1</v>
      </c>
      <c r="K264" s="106">
        <v>82</v>
      </c>
      <c r="L264" s="94" t="str" cm="1">
        <f t="array" ref="L264">_xlfn.IFS(J264&lt;2,"Fresher",J264&lt;=3,"Mid Level",J264&gt;3,"Experienced")</f>
        <v>Fresher</v>
      </c>
      <c r="M264" s="90" t="str" cm="1">
        <f t="array" ref="M264">_xlfn.IFS(I264&gt;=600000,"High",I264&gt;=450000,"Medium",I264&lt;450000,"Low")</f>
        <v>Medium</v>
      </c>
      <c r="N264" s="94">
        <f t="shared" si="17"/>
        <v>0.02</v>
      </c>
      <c r="O264" s="92" t="str">
        <f t="shared" si="18"/>
        <v>Unique</v>
      </c>
      <c r="P264" s="94">
        <f t="shared" si="16"/>
        <v>9</v>
      </c>
    </row>
    <row r="265" spans="1:16">
      <c r="A265" s="115">
        <v>3101263</v>
      </c>
      <c r="B265" s="85" t="s">
        <v>306</v>
      </c>
      <c r="C265" s="96" t="s">
        <v>258</v>
      </c>
      <c r="D265" s="85" t="s">
        <v>32</v>
      </c>
      <c r="E265" s="96" t="s">
        <v>33</v>
      </c>
      <c r="F265" s="96" t="s">
        <v>14</v>
      </c>
      <c r="G265" s="85" t="s">
        <v>21</v>
      </c>
      <c r="H265" s="98">
        <v>46244</v>
      </c>
      <c r="I265" s="85">
        <v>400000</v>
      </c>
      <c r="J265" s="96">
        <v>4</v>
      </c>
      <c r="K265" s="106">
        <v>76</v>
      </c>
      <c r="L265" s="94" t="str" cm="1">
        <f t="array" ref="L265">_xlfn.IFS(J265&lt;2,"Fresher",J265&lt;=3,"Mid Level",J265&gt;3,"Experienced")</f>
        <v>Experienced</v>
      </c>
      <c r="M265" s="90" t="str" cm="1">
        <f t="array" ref="M265">_xlfn.IFS(I265&gt;=600000,"High",I265&gt;=450000,"Medium",I265&lt;450000,"Low")</f>
        <v>Low</v>
      </c>
      <c r="N265" s="94">
        <f t="shared" si="17"/>
        <v>0.02</v>
      </c>
      <c r="O265" s="92" t="str">
        <f t="shared" si="18"/>
        <v>Unique</v>
      </c>
      <c r="P265" s="94">
        <f t="shared" si="16"/>
        <v>8</v>
      </c>
    </row>
    <row r="266" spans="1:16">
      <c r="A266" s="115">
        <v>3101264</v>
      </c>
      <c r="B266" s="85" t="s">
        <v>288</v>
      </c>
      <c r="C266" s="96" t="s">
        <v>17</v>
      </c>
      <c r="D266" s="85" t="s">
        <v>28</v>
      </c>
      <c r="E266" s="96" t="s">
        <v>29</v>
      </c>
      <c r="F266" s="96" t="s">
        <v>34</v>
      </c>
      <c r="G266" s="85" t="s">
        <v>25</v>
      </c>
      <c r="H266" s="98">
        <v>46272</v>
      </c>
      <c r="I266" s="85">
        <v>465000</v>
      </c>
      <c r="J266" s="96">
        <v>4</v>
      </c>
      <c r="K266" s="106">
        <v>88</v>
      </c>
      <c r="L266" s="94" t="str" cm="1">
        <f t="array" ref="L266">_xlfn.IFS(J266&lt;2,"Fresher",J266&lt;=3,"Mid Level",J266&gt;3,"Experienced")</f>
        <v>Experienced</v>
      </c>
      <c r="M266" s="90" t="str" cm="1">
        <f t="array" ref="M266">_xlfn.IFS(I266&gt;=600000,"High",I266&gt;=450000,"Medium",I266&lt;450000,"Low")</f>
        <v>Medium</v>
      </c>
      <c r="N266" s="94">
        <f t="shared" si="17"/>
        <v>0.01</v>
      </c>
      <c r="O266" s="92" t="str">
        <f t="shared" si="18"/>
        <v>Unique</v>
      </c>
      <c r="P266" s="94">
        <f t="shared" si="16"/>
        <v>9</v>
      </c>
    </row>
    <row r="267" spans="1:16">
      <c r="A267" s="115">
        <v>3101265</v>
      </c>
      <c r="B267" s="85" t="s">
        <v>44</v>
      </c>
      <c r="C267" s="96" t="s">
        <v>11</v>
      </c>
      <c r="D267" s="85" t="s">
        <v>32</v>
      </c>
      <c r="E267" s="96" t="s">
        <v>33</v>
      </c>
      <c r="F267" s="96" t="s">
        <v>24</v>
      </c>
      <c r="G267" s="85" t="s">
        <v>25</v>
      </c>
      <c r="H267" s="98">
        <v>46188</v>
      </c>
      <c r="I267" s="85">
        <v>290000</v>
      </c>
      <c r="J267" s="96">
        <v>1</v>
      </c>
      <c r="K267" s="106">
        <v>91</v>
      </c>
      <c r="L267" s="94" t="str" cm="1">
        <f t="array" ref="L267">_xlfn.IFS(J267&lt;2,"Fresher",J267&lt;=3,"Mid Level",J267&gt;3,"Experienced")</f>
        <v>Fresher</v>
      </c>
      <c r="M267" s="90" t="str" cm="1">
        <f t="array" ref="M267">_xlfn.IFS(I267&gt;=600000,"High",I267&gt;=450000,"Medium",I267&lt;450000,"Low")</f>
        <v>Low</v>
      </c>
      <c r="N267" s="94">
        <f t="shared" si="17"/>
        <v>0.02</v>
      </c>
      <c r="O267" s="92" t="str">
        <f t="shared" si="18"/>
        <v>Unique</v>
      </c>
      <c r="P267" s="94">
        <f t="shared" si="16"/>
        <v>6</v>
      </c>
    </row>
    <row r="268" spans="1:16">
      <c r="A268" s="115">
        <v>3101266</v>
      </c>
      <c r="B268" s="85" t="s">
        <v>302</v>
      </c>
      <c r="C268" s="96" t="s">
        <v>258</v>
      </c>
      <c r="D268" s="85" t="s">
        <v>18</v>
      </c>
      <c r="E268" s="96" t="s">
        <v>39</v>
      </c>
      <c r="F268" s="96" t="s">
        <v>34</v>
      </c>
      <c r="G268" s="85" t="s">
        <v>21</v>
      </c>
      <c r="H268" s="98">
        <v>46272</v>
      </c>
      <c r="I268" s="85">
        <v>355000</v>
      </c>
      <c r="J268" s="96">
        <v>0</v>
      </c>
      <c r="K268" s="106">
        <v>69</v>
      </c>
      <c r="L268" s="94" t="str" cm="1">
        <f t="array" ref="L268">_xlfn.IFS(J268&lt;2,"Fresher",J268&lt;=3,"Mid Level",J268&gt;3,"Experienced")</f>
        <v>Fresher</v>
      </c>
      <c r="M268" s="90" t="str" cm="1">
        <f t="array" ref="M268">_xlfn.IFS(I268&gt;=600000,"High",I268&gt;=450000,"Medium",I268&lt;450000,"Low")</f>
        <v>Low</v>
      </c>
      <c r="N268" s="94">
        <f t="shared" si="17"/>
        <v>0.01</v>
      </c>
      <c r="O268" s="92" t="str">
        <f t="shared" si="18"/>
        <v>Unique</v>
      </c>
      <c r="P268" s="94">
        <f t="shared" si="16"/>
        <v>9</v>
      </c>
    </row>
    <row r="269" spans="1:16">
      <c r="A269" s="115">
        <v>3101267</v>
      </c>
      <c r="B269" s="85" t="s">
        <v>280</v>
      </c>
      <c r="C269" s="96" t="s">
        <v>11</v>
      </c>
      <c r="D269" s="85" t="s">
        <v>18</v>
      </c>
      <c r="E269" s="96" t="s">
        <v>39</v>
      </c>
      <c r="F269" s="96" t="s">
        <v>20</v>
      </c>
      <c r="G269" s="85" t="s">
        <v>21</v>
      </c>
      <c r="H269" s="98">
        <v>46150</v>
      </c>
      <c r="I269" s="85">
        <v>375000</v>
      </c>
      <c r="J269" s="96">
        <v>0</v>
      </c>
      <c r="K269" s="106">
        <v>95</v>
      </c>
      <c r="L269" s="94" t="str" cm="1">
        <f t="array" ref="L269">_xlfn.IFS(J269&lt;2,"Fresher",J269&lt;=3,"Mid Level",J269&gt;3,"Experienced")</f>
        <v>Fresher</v>
      </c>
      <c r="M269" s="90" t="str" cm="1">
        <f t="array" ref="M269">_xlfn.IFS(I269&gt;=600000,"High",I269&gt;=450000,"Medium",I269&lt;450000,"Low")</f>
        <v>Low</v>
      </c>
      <c r="N269" s="94">
        <f t="shared" si="17"/>
        <v>0.05</v>
      </c>
      <c r="O269" s="92" t="str">
        <f t="shared" si="18"/>
        <v>Unique</v>
      </c>
      <c r="P269" s="94">
        <f t="shared" si="16"/>
        <v>5</v>
      </c>
    </row>
    <row r="270" spans="1:16">
      <c r="A270" s="115">
        <v>3101268</v>
      </c>
      <c r="B270" s="85" t="s">
        <v>275</v>
      </c>
      <c r="C270" s="96" t="s">
        <v>27</v>
      </c>
      <c r="D270" s="85" t="s">
        <v>12</v>
      </c>
      <c r="E270" s="96" t="s">
        <v>13</v>
      </c>
      <c r="F270" s="96" t="s">
        <v>20</v>
      </c>
      <c r="G270" s="85" t="s">
        <v>15</v>
      </c>
      <c r="H270" s="98">
        <v>46167</v>
      </c>
      <c r="I270" s="85">
        <v>635000</v>
      </c>
      <c r="J270" s="96">
        <v>5</v>
      </c>
      <c r="K270" s="106">
        <v>73</v>
      </c>
      <c r="L270" s="94" t="str" cm="1">
        <f t="array" ref="L270">_xlfn.IFS(J270&lt;2,"Fresher",J270&lt;=3,"Mid Level",J270&gt;3,"Experienced")</f>
        <v>Experienced</v>
      </c>
      <c r="M270" s="90" t="str" cm="1">
        <f t="array" ref="M270">_xlfn.IFS(I270&gt;=600000,"High",I270&gt;=450000,"Medium",I270&lt;450000,"Low")</f>
        <v>High</v>
      </c>
      <c r="N270" s="94">
        <f t="shared" si="17"/>
        <v>0.05</v>
      </c>
      <c r="O270" s="92" t="str">
        <f t="shared" si="18"/>
        <v>Unique</v>
      </c>
      <c r="P270" s="94">
        <f t="shared" si="16"/>
        <v>5</v>
      </c>
    </row>
    <row r="271" spans="1:16">
      <c r="A271" s="115">
        <v>3101269</v>
      </c>
      <c r="B271" s="85" t="s">
        <v>314</v>
      </c>
      <c r="C271" s="96" t="s">
        <v>27</v>
      </c>
      <c r="D271" s="85" t="s">
        <v>18</v>
      </c>
      <c r="E271" s="96" t="s">
        <v>39</v>
      </c>
      <c r="F271" s="96" t="s">
        <v>34</v>
      </c>
      <c r="G271" s="85" t="s">
        <v>21</v>
      </c>
      <c r="H271" s="98">
        <v>46272</v>
      </c>
      <c r="I271" s="85">
        <v>365000</v>
      </c>
      <c r="J271" s="96">
        <v>4</v>
      </c>
      <c r="K271" s="106">
        <v>84</v>
      </c>
      <c r="L271" s="94" t="str" cm="1">
        <f t="array" ref="L271">_xlfn.IFS(J271&lt;2,"Fresher",J271&lt;=3,"Mid Level",J271&gt;3,"Experienced")</f>
        <v>Experienced</v>
      </c>
      <c r="M271" s="90" t="str" cm="1">
        <f t="array" ref="M271">_xlfn.IFS(I271&gt;=600000,"High",I271&gt;=450000,"Medium",I271&lt;450000,"Low")</f>
        <v>Low</v>
      </c>
      <c r="N271" s="94">
        <f t="shared" si="17"/>
        <v>0.01</v>
      </c>
      <c r="O271" s="92" t="str">
        <f t="shared" si="18"/>
        <v>Unique</v>
      </c>
      <c r="P271" s="94">
        <f t="shared" si="16"/>
        <v>9</v>
      </c>
    </row>
    <row r="272" spans="1:16">
      <c r="A272" s="115">
        <v>3101270</v>
      </c>
      <c r="B272" s="85" t="s">
        <v>294</v>
      </c>
      <c r="C272" s="96" t="s">
        <v>258</v>
      </c>
      <c r="D272" s="85" t="s">
        <v>32</v>
      </c>
      <c r="E272" s="96" t="s">
        <v>300</v>
      </c>
      <c r="F272" s="96" t="s">
        <v>24</v>
      </c>
      <c r="G272" s="85" t="s">
        <v>21</v>
      </c>
      <c r="H272" s="98">
        <v>46213</v>
      </c>
      <c r="I272" s="85">
        <v>290000</v>
      </c>
      <c r="J272" s="96">
        <v>1</v>
      </c>
      <c r="K272" s="106">
        <v>79</v>
      </c>
      <c r="L272" s="94" t="str" cm="1">
        <f t="array" ref="L272">_xlfn.IFS(J272&lt;2,"Fresher",J272&lt;=3,"Mid Level",J272&gt;3,"Experienced")</f>
        <v>Fresher</v>
      </c>
      <c r="M272" s="90" t="str" cm="1">
        <f t="array" ref="M272">_xlfn.IFS(I272&gt;=600000,"High",I272&gt;=450000,"Medium",I272&lt;450000,"Low")</f>
        <v>Low</v>
      </c>
      <c r="N272" s="94">
        <f t="shared" si="17"/>
        <v>0.02</v>
      </c>
      <c r="O272" s="92" t="str">
        <f t="shared" si="18"/>
        <v>Unique</v>
      </c>
      <c r="P272" s="94">
        <f t="shared" si="16"/>
        <v>7</v>
      </c>
    </row>
    <row r="273" spans="1:16">
      <c r="A273" s="115">
        <v>3101271</v>
      </c>
      <c r="B273" s="85" t="s">
        <v>301</v>
      </c>
      <c r="C273" s="96" t="s">
        <v>268</v>
      </c>
      <c r="D273" s="85" t="s">
        <v>12</v>
      </c>
      <c r="E273" s="96" t="s">
        <v>261</v>
      </c>
      <c r="F273" s="96" t="s">
        <v>20</v>
      </c>
      <c r="G273" s="85" t="s">
        <v>256</v>
      </c>
      <c r="H273" s="98">
        <v>46243</v>
      </c>
      <c r="I273" s="85">
        <v>485000</v>
      </c>
      <c r="J273" s="96">
        <v>2</v>
      </c>
      <c r="K273" s="106">
        <v>71</v>
      </c>
      <c r="L273" s="94" t="str" cm="1">
        <f t="array" ref="L273">_xlfn.IFS(J273&lt;2,"Fresher",J273&lt;=3,"Mid Level",J273&gt;3,"Experienced")</f>
        <v>Mid Level</v>
      </c>
      <c r="M273" s="90" t="str" cm="1">
        <f t="array" ref="M273">_xlfn.IFS(I273&gt;=600000,"High",I273&gt;=450000,"Medium",I273&lt;450000,"Low")</f>
        <v>Medium</v>
      </c>
      <c r="N273" s="94">
        <f t="shared" si="17"/>
        <v>0.05</v>
      </c>
      <c r="O273" s="92" t="str">
        <f t="shared" si="18"/>
        <v>Unique</v>
      </c>
      <c r="P273" s="94">
        <f t="shared" si="16"/>
        <v>8</v>
      </c>
    </row>
    <row r="274" spans="1:16">
      <c r="A274" s="115">
        <v>3101272</v>
      </c>
      <c r="B274" s="85" t="s">
        <v>45</v>
      </c>
      <c r="C274" s="96" t="s">
        <v>38</v>
      </c>
      <c r="D274" s="85" t="s">
        <v>12</v>
      </c>
      <c r="E274" s="96" t="s">
        <v>23</v>
      </c>
      <c r="F274" s="96" t="s">
        <v>20</v>
      </c>
      <c r="G274" s="85" t="s">
        <v>25</v>
      </c>
      <c r="H274" s="98">
        <v>46257</v>
      </c>
      <c r="I274" s="85">
        <v>520000</v>
      </c>
      <c r="J274" s="96">
        <v>3</v>
      </c>
      <c r="K274" s="106">
        <v>89</v>
      </c>
      <c r="L274" s="94" t="str" cm="1">
        <f t="array" ref="L274">_xlfn.IFS(J274&lt;2,"Fresher",J274&lt;=3,"Mid Level",J274&gt;3,"Experienced")</f>
        <v>Mid Level</v>
      </c>
      <c r="M274" s="90" t="str" cm="1">
        <f t="array" ref="M274">_xlfn.IFS(I274&gt;=600000,"High",I274&gt;=450000,"Medium",I274&lt;450000,"Low")</f>
        <v>Medium</v>
      </c>
      <c r="N274" s="94">
        <f t="shared" si="17"/>
        <v>0.05</v>
      </c>
      <c r="O274" s="92" t="str">
        <f t="shared" si="18"/>
        <v>Duplicate</v>
      </c>
      <c r="P274" s="94">
        <f t="shared" si="16"/>
        <v>8</v>
      </c>
    </row>
    <row r="275" spans="1:16">
      <c r="A275" s="115">
        <v>3101273</v>
      </c>
      <c r="B275" s="85" t="s">
        <v>305</v>
      </c>
      <c r="C275" s="96" t="s">
        <v>260</v>
      </c>
      <c r="D275" s="85" t="s">
        <v>12</v>
      </c>
      <c r="E275" s="96" t="s">
        <v>23</v>
      </c>
      <c r="F275" s="96" t="s">
        <v>34</v>
      </c>
      <c r="G275" s="85" t="s">
        <v>256</v>
      </c>
      <c r="H275" s="98">
        <v>46200</v>
      </c>
      <c r="I275" s="85">
        <v>610000</v>
      </c>
      <c r="J275" s="96">
        <v>2</v>
      </c>
      <c r="K275" s="106">
        <v>67</v>
      </c>
      <c r="L275" s="94" t="str" cm="1">
        <f t="array" ref="L275">_xlfn.IFS(J275&lt;2,"Fresher",J275&lt;=3,"Mid Level",J275&gt;3,"Experienced")</f>
        <v>Mid Level</v>
      </c>
      <c r="M275" s="90" t="str" cm="1">
        <f t="array" ref="M275">_xlfn.IFS(I275&gt;=600000,"High",I275&gt;=450000,"Medium",I275&lt;450000,"Low")</f>
        <v>High</v>
      </c>
      <c r="N275" s="94">
        <f t="shared" si="17"/>
        <v>0.01</v>
      </c>
      <c r="O275" s="92" t="str">
        <f t="shared" si="18"/>
        <v>Unique</v>
      </c>
      <c r="P275" s="94">
        <f t="shared" si="16"/>
        <v>6</v>
      </c>
    </row>
    <row r="276" spans="1:16">
      <c r="A276" s="115">
        <v>3101274</v>
      </c>
      <c r="B276" s="85" t="s">
        <v>302</v>
      </c>
      <c r="C276" s="96" t="s">
        <v>258</v>
      </c>
      <c r="D276" s="85" t="s">
        <v>28</v>
      </c>
      <c r="E276" s="96" t="s">
        <v>297</v>
      </c>
      <c r="F276" s="96" t="s">
        <v>24</v>
      </c>
      <c r="G276" s="85" t="s">
        <v>25</v>
      </c>
      <c r="H276" s="98">
        <v>46189</v>
      </c>
      <c r="I276" s="85">
        <v>550000</v>
      </c>
      <c r="J276" s="96">
        <v>0</v>
      </c>
      <c r="K276" s="106">
        <v>86</v>
      </c>
      <c r="L276" s="94" t="str" cm="1">
        <f t="array" ref="L276">_xlfn.IFS(J276&lt;2,"Fresher",J276&lt;=3,"Mid Level",J276&gt;3,"Experienced")</f>
        <v>Fresher</v>
      </c>
      <c r="M276" s="90" t="str" cm="1">
        <f t="array" ref="M276">_xlfn.IFS(I276&gt;=600000,"High",I276&gt;=450000,"Medium",I276&lt;450000,"Low")</f>
        <v>Medium</v>
      </c>
      <c r="N276" s="94">
        <f t="shared" si="17"/>
        <v>0.02</v>
      </c>
      <c r="O276" s="92" t="str">
        <f t="shared" si="18"/>
        <v>Unique</v>
      </c>
      <c r="P276" s="94">
        <f t="shared" si="16"/>
        <v>6</v>
      </c>
    </row>
    <row r="277" spans="1:16">
      <c r="A277" s="115">
        <v>3101275</v>
      </c>
      <c r="B277" s="85" t="s">
        <v>274</v>
      </c>
      <c r="C277" s="96" t="s">
        <v>38</v>
      </c>
      <c r="D277" s="85" t="s">
        <v>12</v>
      </c>
      <c r="E277" s="96" t="s">
        <v>265</v>
      </c>
      <c r="F277" s="96" t="s">
        <v>24</v>
      </c>
      <c r="G277" s="85" t="s">
        <v>15</v>
      </c>
      <c r="H277" s="98">
        <v>46255</v>
      </c>
      <c r="I277" s="85">
        <v>650000</v>
      </c>
      <c r="J277" s="96">
        <v>5</v>
      </c>
      <c r="K277" s="106">
        <v>92</v>
      </c>
      <c r="L277" s="94" t="str" cm="1">
        <f t="array" ref="L277">_xlfn.IFS(J277&lt;2,"Fresher",J277&lt;=3,"Mid Level",J277&gt;3,"Experienced")</f>
        <v>Experienced</v>
      </c>
      <c r="M277" s="90" t="str" cm="1">
        <f t="array" ref="M277">_xlfn.IFS(I277&gt;=600000,"High",I277&gt;=450000,"Medium",I277&lt;450000,"Low")</f>
        <v>High</v>
      </c>
      <c r="N277" s="94">
        <f t="shared" si="17"/>
        <v>0.02</v>
      </c>
      <c r="O277" s="92" t="str">
        <f t="shared" si="18"/>
        <v>Unique</v>
      </c>
      <c r="P277" s="94">
        <f t="shared" si="16"/>
        <v>8</v>
      </c>
    </row>
    <row r="278" spans="1:16">
      <c r="A278" s="115">
        <v>3101276</v>
      </c>
      <c r="B278" s="85" t="s">
        <v>306</v>
      </c>
      <c r="C278" s="96" t="s">
        <v>27</v>
      </c>
      <c r="D278" s="85" t="s">
        <v>12</v>
      </c>
      <c r="E278" s="96" t="s">
        <v>36</v>
      </c>
      <c r="F278" s="96" t="s">
        <v>20</v>
      </c>
      <c r="G278" s="85" t="s">
        <v>256</v>
      </c>
      <c r="H278" s="98">
        <v>46201</v>
      </c>
      <c r="I278" s="85">
        <v>620000</v>
      </c>
      <c r="J278" s="96">
        <v>4</v>
      </c>
      <c r="K278" s="106">
        <v>69</v>
      </c>
      <c r="L278" s="94" t="str" cm="1">
        <f t="array" ref="L278">_xlfn.IFS(J278&lt;2,"Fresher",J278&lt;=3,"Mid Level",J278&gt;3,"Experienced")</f>
        <v>Experienced</v>
      </c>
      <c r="M278" s="90" t="str" cm="1">
        <f t="array" ref="M278">_xlfn.IFS(I278&gt;=600000,"High",I278&gt;=450000,"Medium",I278&lt;450000,"Low")</f>
        <v>High</v>
      </c>
      <c r="N278" s="94">
        <f t="shared" si="17"/>
        <v>0.05</v>
      </c>
      <c r="O278" s="92" t="str">
        <f t="shared" si="18"/>
        <v>Unique</v>
      </c>
      <c r="P278" s="94">
        <f t="shared" si="16"/>
        <v>6</v>
      </c>
    </row>
    <row r="279" spans="1:16">
      <c r="A279" s="115">
        <v>3101277</v>
      </c>
      <c r="B279" s="85" t="s">
        <v>286</v>
      </c>
      <c r="C279" s="96" t="s">
        <v>27</v>
      </c>
      <c r="D279" s="85" t="s">
        <v>18</v>
      </c>
      <c r="E279" s="96" t="s">
        <v>39</v>
      </c>
      <c r="F279" s="96" t="s">
        <v>34</v>
      </c>
      <c r="G279" s="85" t="s">
        <v>25</v>
      </c>
      <c r="H279" s="98">
        <v>46270</v>
      </c>
      <c r="I279" s="85">
        <v>435000</v>
      </c>
      <c r="J279" s="96">
        <v>0</v>
      </c>
      <c r="K279" s="106">
        <v>81</v>
      </c>
      <c r="L279" s="94" t="str" cm="1">
        <f t="array" ref="L279">_xlfn.IFS(J279&lt;2,"Fresher",J279&lt;=3,"Mid Level",J279&gt;3,"Experienced")</f>
        <v>Fresher</v>
      </c>
      <c r="M279" s="90" t="str" cm="1">
        <f t="array" ref="M279">_xlfn.IFS(I279&gt;=600000,"High",I279&gt;=450000,"Medium",I279&lt;450000,"Low")</f>
        <v>Low</v>
      </c>
      <c r="N279" s="94">
        <f t="shared" si="17"/>
        <v>0.01</v>
      </c>
      <c r="O279" s="92" t="str">
        <f t="shared" si="18"/>
        <v>Unique</v>
      </c>
      <c r="P279" s="94">
        <f t="shared" si="16"/>
        <v>9</v>
      </c>
    </row>
    <row r="280" spans="1:16">
      <c r="A280" s="115">
        <v>3101278</v>
      </c>
      <c r="B280" s="85" t="s">
        <v>277</v>
      </c>
      <c r="C280" s="96" t="s">
        <v>27</v>
      </c>
      <c r="D280" s="85" t="s">
        <v>32</v>
      </c>
      <c r="E280" s="96" t="s">
        <v>33</v>
      </c>
      <c r="F280" s="96" t="s">
        <v>34</v>
      </c>
      <c r="G280" s="85" t="s">
        <v>15</v>
      </c>
      <c r="H280" s="98">
        <v>46191</v>
      </c>
      <c r="I280" s="85">
        <v>435000</v>
      </c>
      <c r="J280" s="96">
        <v>0</v>
      </c>
      <c r="K280" s="106">
        <v>94</v>
      </c>
      <c r="L280" s="94" t="str" cm="1">
        <f t="array" ref="L280">_xlfn.IFS(J280&lt;2,"Fresher",J280&lt;=3,"Mid Level",J280&gt;3,"Experienced")</f>
        <v>Fresher</v>
      </c>
      <c r="M280" s="90" t="str" cm="1">
        <f t="array" ref="M280">_xlfn.IFS(I280&gt;=600000,"High",I280&gt;=450000,"Medium",I280&lt;450000,"Low")</f>
        <v>Low</v>
      </c>
      <c r="N280" s="94">
        <f t="shared" si="17"/>
        <v>0.01</v>
      </c>
      <c r="O280" s="92" t="str">
        <f t="shared" si="18"/>
        <v>Unique</v>
      </c>
      <c r="P280" s="94">
        <f t="shared" si="16"/>
        <v>6</v>
      </c>
    </row>
    <row r="281" spans="1:16">
      <c r="A281" s="115">
        <v>3101279</v>
      </c>
      <c r="B281" s="85" t="s">
        <v>263</v>
      </c>
      <c r="C281" s="96" t="s">
        <v>27</v>
      </c>
      <c r="D281" s="85" t="s">
        <v>12</v>
      </c>
      <c r="E281" s="96" t="s">
        <v>303</v>
      </c>
      <c r="F281" s="96" t="s">
        <v>20</v>
      </c>
      <c r="G281" s="85" t="s">
        <v>256</v>
      </c>
      <c r="H281" s="98">
        <v>46271</v>
      </c>
      <c r="I281" s="85">
        <v>820000</v>
      </c>
      <c r="J281" s="96">
        <v>4</v>
      </c>
      <c r="K281" s="106">
        <v>77</v>
      </c>
      <c r="L281" s="94" t="str" cm="1">
        <f t="array" ref="L281">_xlfn.IFS(J281&lt;2,"Fresher",J281&lt;=3,"Mid Level",J281&gt;3,"Experienced")</f>
        <v>Experienced</v>
      </c>
      <c r="M281" s="90" t="str" cm="1">
        <f t="array" ref="M281">_xlfn.IFS(I281&gt;=600000,"High",I281&gt;=450000,"Medium",I281&lt;450000,"Low")</f>
        <v>High</v>
      </c>
      <c r="N281" s="94">
        <f t="shared" si="17"/>
        <v>0.05</v>
      </c>
      <c r="O281" s="92" t="str">
        <f t="shared" si="18"/>
        <v>Unique</v>
      </c>
      <c r="P281" s="94">
        <f t="shared" si="16"/>
        <v>9</v>
      </c>
    </row>
    <row r="282" spans="1:16">
      <c r="A282" s="115">
        <v>3101280</v>
      </c>
      <c r="B282" s="85" t="s">
        <v>289</v>
      </c>
      <c r="C282" s="96" t="s">
        <v>268</v>
      </c>
      <c r="D282" s="85" t="s">
        <v>12</v>
      </c>
      <c r="E282" s="96" t="s">
        <v>23</v>
      </c>
      <c r="F282" s="96" t="s">
        <v>20</v>
      </c>
      <c r="G282" s="85" t="s">
        <v>25</v>
      </c>
      <c r="H282" s="98">
        <v>46200</v>
      </c>
      <c r="I282" s="85">
        <v>625000</v>
      </c>
      <c r="J282" s="96">
        <v>2</v>
      </c>
      <c r="K282" s="106">
        <v>72</v>
      </c>
      <c r="L282" s="94" t="str" cm="1">
        <f t="array" ref="L282">_xlfn.IFS(J282&lt;2,"Fresher",J282&lt;=3,"Mid Level",J282&gt;3,"Experienced")</f>
        <v>Mid Level</v>
      </c>
      <c r="M282" s="90" t="str" cm="1">
        <f t="array" ref="M282">_xlfn.IFS(I282&gt;=600000,"High",I282&gt;=450000,"Medium",I282&lt;450000,"Low")</f>
        <v>High</v>
      </c>
      <c r="N282" s="94">
        <f t="shared" si="17"/>
        <v>0.05</v>
      </c>
      <c r="O282" s="92" t="str">
        <f t="shared" si="18"/>
        <v>Unique</v>
      </c>
      <c r="P282" s="94">
        <f t="shared" si="16"/>
        <v>6</v>
      </c>
    </row>
    <row r="283" spans="1:16">
      <c r="A283" s="115">
        <v>3101281</v>
      </c>
      <c r="B283" s="85" t="s">
        <v>259</v>
      </c>
      <c r="C283" s="96" t="s">
        <v>258</v>
      </c>
      <c r="D283" s="85" t="s">
        <v>12</v>
      </c>
      <c r="E283" s="96" t="s">
        <v>13</v>
      </c>
      <c r="F283" s="96" t="s">
        <v>20</v>
      </c>
      <c r="G283" s="85" t="s">
        <v>256</v>
      </c>
      <c r="H283" s="98">
        <v>46211</v>
      </c>
      <c r="I283" s="85">
        <v>380000</v>
      </c>
      <c r="J283" s="96">
        <v>2</v>
      </c>
      <c r="K283" s="106">
        <v>90</v>
      </c>
      <c r="L283" s="94" t="str" cm="1">
        <f t="array" ref="L283">_xlfn.IFS(J283&lt;2,"Fresher",J283&lt;=3,"Mid Level",J283&gt;3,"Experienced")</f>
        <v>Mid Level</v>
      </c>
      <c r="M283" s="90" t="str" cm="1">
        <f t="array" ref="M283">_xlfn.IFS(I283&gt;=600000,"High",I283&gt;=450000,"Medium",I283&lt;450000,"Low")</f>
        <v>Low</v>
      </c>
      <c r="N283" s="94">
        <f t="shared" si="17"/>
        <v>0.05</v>
      </c>
      <c r="O283" s="92" t="str">
        <f t="shared" si="18"/>
        <v>Unique</v>
      </c>
      <c r="P283" s="94">
        <f t="shared" si="16"/>
        <v>7</v>
      </c>
    </row>
    <row r="284" spans="1:16">
      <c r="A284" s="115">
        <v>3101282</v>
      </c>
      <c r="B284" s="85" t="s">
        <v>284</v>
      </c>
      <c r="C284" s="96" t="s">
        <v>17</v>
      </c>
      <c r="D284" s="85" t="s">
        <v>12</v>
      </c>
      <c r="E284" s="96" t="s">
        <v>261</v>
      </c>
      <c r="F284" s="96" t="s">
        <v>34</v>
      </c>
      <c r="G284" s="85" t="s">
        <v>25</v>
      </c>
      <c r="H284" s="98">
        <v>46218</v>
      </c>
      <c r="I284" s="85">
        <v>430000</v>
      </c>
      <c r="J284" s="96">
        <v>3</v>
      </c>
      <c r="K284" s="106">
        <v>74</v>
      </c>
      <c r="L284" s="94" t="str" cm="1">
        <f t="array" ref="L284">_xlfn.IFS(J284&lt;2,"Fresher",J284&lt;=3,"Mid Level",J284&gt;3,"Experienced")</f>
        <v>Mid Level</v>
      </c>
      <c r="M284" s="90" t="str" cm="1">
        <f t="array" ref="M284">_xlfn.IFS(I284&gt;=600000,"High",I284&gt;=450000,"Medium",I284&lt;450000,"Low")</f>
        <v>Low</v>
      </c>
      <c r="N284" s="94">
        <f t="shared" si="17"/>
        <v>0.01</v>
      </c>
      <c r="O284" s="92" t="str">
        <f t="shared" si="18"/>
        <v>Unique</v>
      </c>
      <c r="P284" s="94">
        <f t="shared" si="16"/>
        <v>7</v>
      </c>
    </row>
    <row r="285" spans="1:16">
      <c r="A285" s="115">
        <v>3101283</v>
      </c>
      <c r="B285" s="85" t="s">
        <v>311</v>
      </c>
      <c r="C285" s="96" t="s">
        <v>264</v>
      </c>
      <c r="D285" s="85" t="s">
        <v>32</v>
      </c>
      <c r="E285" s="96" t="s">
        <v>33</v>
      </c>
      <c r="F285" s="96" t="s">
        <v>34</v>
      </c>
      <c r="G285" s="85" t="s">
        <v>21</v>
      </c>
      <c r="H285" s="98">
        <v>46156</v>
      </c>
      <c r="I285" s="85">
        <v>425000</v>
      </c>
      <c r="J285" s="96">
        <v>0</v>
      </c>
      <c r="K285" s="106">
        <v>85</v>
      </c>
      <c r="L285" s="94" t="str" cm="1">
        <f t="array" ref="L285">_xlfn.IFS(J285&lt;2,"Fresher",J285&lt;=3,"Mid Level",J285&gt;3,"Experienced")</f>
        <v>Fresher</v>
      </c>
      <c r="M285" s="90" t="str" cm="1">
        <f t="array" ref="M285">_xlfn.IFS(I285&gt;=600000,"High",I285&gt;=450000,"Medium",I285&lt;450000,"Low")</f>
        <v>Low</v>
      </c>
      <c r="N285" s="94">
        <f t="shared" si="17"/>
        <v>0.01</v>
      </c>
      <c r="O285" s="92" t="str">
        <f t="shared" si="18"/>
        <v>Unique</v>
      </c>
      <c r="P285" s="94">
        <f t="shared" si="16"/>
        <v>5</v>
      </c>
    </row>
    <row r="286" spans="1:16">
      <c r="A286" s="115">
        <v>3101284</v>
      </c>
      <c r="B286" s="85" t="s">
        <v>269</v>
      </c>
      <c r="C286" s="96" t="s">
        <v>264</v>
      </c>
      <c r="D286" s="85" t="s">
        <v>12</v>
      </c>
      <c r="E286" s="96" t="s">
        <v>23</v>
      </c>
      <c r="F286" s="96" t="s">
        <v>34</v>
      </c>
      <c r="G286" s="85" t="s">
        <v>25</v>
      </c>
      <c r="H286" s="98">
        <v>46145</v>
      </c>
      <c r="I286" s="85">
        <v>550000</v>
      </c>
      <c r="J286" s="96">
        <v>0</v>
      </c>
      <c r="K286" s="106">
        <v>94</v>
      </c>
      <c r="L286" s="94" t="str" cm="1">
        <f t="array" ref="L286">_xlfn.IFS(J286&lt;2,"Fresher",J286&lt;=3,"Mid Level",J286&gt;3,"Experienced")</f>
        <v>Fresher</v>
      </c>
      <c r="M286" s="90" t="str" cm="1">
        <f t="array" ref="M286">_xlfn.IFS(I286&gt;=600000,"High",I286&gt;=450000,"Medium",I286&lt;450000,"Low")</f>
        <v>Medium</v>
      </c>
      <c r="N286" s="94">
        <f t="shared" si="17"/>
        <v>0.01</v>
      </c>
      <c r="O286" s="92" t="str">
        <f t="shared" si="18"/>
        <v>Unique</v>
      </c>
      <c r="P286" s="94">
        <f t="shared" si="16"/>
        <v>5</v>
      </c>
    </row>
    <row r="287" spans="1:16">
      <c r="A287" s="115">
        <v>3101285</v>
      </c>
      <c r="B287" s="85" t="s">
        <v>290</v>
      </c>
      <c r="C287" s="96" t="s">
        <v>17</v>
      </c>
      <c r="D287" s="85" t="s">
        <v>12</v>
      </c>
      <c r="E287" s="96" t="s">
        <v>303</v>
      </c>
      <c r="F287" s="96" t="s">
        <v>20</v>
      </c>
      <c r="G287" s="85" t="s">
        <v>15</v>
      </c>
      <c r="H287" s="98">
        <v>46152</v>
      </c>
      <c r="I287" s="85">
        <v>625000</v>
      </c>
      <c r="J287" s="96">
        <v>4</v>
      </c>
      <c r="K287" s="106">
        <v>68</v>
      </c>
      <c r="L287" s="94" t="str" cm="1">
        <f t="array" ref="L287">_xlfn.IFS(J287&lt;2,"Fresher",J287&lt;=3,"Mid Level",J287&gt;3,"Experienced")</f>
        <v>Experienced</v>
      </c>
      <c r="M287" s="90" t="str" cm="1">
        <f t="array" ref="M287">_xlfn.IFS(I287&gt;=600000,"High",I287&gt;=450000,"Medium",I287&lt;450000,"Low")</f>
        <v>High</v>
      </c>
      <c r="N287" s="94">
        <f t="shared" si="17"/>
        <v>0.05</v>
      </c>
      <c r="O287" s="92" t="str">
        <f t="shared" si="18"/>
        <v>Unique</v>
      </c>
      <c r="P287" s="94">
        <f t="shared" si="16"/>
        <v>5</v>
      </c>
    </row>
    <row r="288" spans="1:16">
      <c r="A288" s="115">
        <v>3101286</v>
      </c>
      <c r="B288" s="85" t="s">
        <v>301</v>
      </c>
      <c r="C288" s="96" t="s">
        <v>17</v>
      </c>
      <c r="D288" s="85" t="s">
        <v>18</v>
      </c>
      <c r="E288" s="96" t="s">
        <v>39</v>
      </c>
      <c r="F288" s="96" t="s">
        <v>34</v>
      </c>
      <c r="G288" s="85" t="s">
        <v>256</v>
      </c>
      <c r="H288" s="98">
        <v>46252</v>
      </c>
      <c r="I288" s="85">
        <v>320000</v>
      </c>
      <c r="J288" s="96">
        <v>0</v>
      </c>
      <c r="K288" s="106">
        <v>87</v>
      </c>
      <c r="L288" s="94" t="str" cm="1">
        <f t="array" ref="L288">_xlfn.IFS(J288&lt;2,"Fresher",J288&lt;=3,"Mid Level",J288&gt;3,"Experienced")</f>
        <v>Fresher</v>
      </c>
      <c r="M288" s="90" t="str" cm="1">
        <f t="array" ref="M288">_xlfn.IFS(I288&gt;=600000,"High",I288&gt;=450000,"Medium",I288&lt;450000,"Low")</f>
        <v>Low</v>
      </c>
      <c r="N288" s="94">
        <f t="shared" si="17"/>
        <v>0.01</v>
      </c>
      <c r="O288" s="92" t="str">
        <f t="shared" si="18"/>
        <v>Unique</v>
      </c>
      <c r="P288" s="94">
        <f t="shared" si="16"/>
        <v>8</v>
      </c>
    </row>
    <row r="289" spans="1:16">
      <c r="A289" s="115">
        <v>3101287</v>
      </c>
      <c r="B289" s="85" t="s">
        <v>284</v>
      </c>
      <c r="C289" s="96" t="s">
        <v>11</v>
      </c>
      <c r="D289" s="85" t="s">
        <v>12</v>
      </c>
      <c r="E289" s="96" t="s">
        <v>23</v>
      </c>
      <c r="F289" s="96" t="s">
        <v>34</v>
      </c>
      <c r="G289" s="85" t="s">
        <v>25</v>
      </c>
      <c r="H289" s="98">
        <v>46218</v>
      </c>
      <c r="I289" s="85">
        <v>615000</v>
      </c>
      <c r="J289" s="96">
        <v>2</v>
      </c>
      <c r="K289" s="106">
        <v>82</v>
      </c>
      <c r="L289" s="94" t="str" cm="1">
        <f t="array" ref="L289">_xlfn.IFS(J289&lt;2,"Fresher",J289&lt;=3,"Mid Level",J289&gt;3,"Experienced")</f>
        <v>Mid Level</v>
      </c>
      <c r="M289" s="90" t="str" cm="1">
        <f t="array" ref="M289">_xlfn.IFS(I289&gt;=600000,"High",I289&gt;=450000,"Medium",I289&lt;450000,"Low")</f>
        <v>High</v>
      </c>
      <c r="N289" s="94">
        <f t="shared" si="17"/>
        <v>0.01</v>
      </c>
      <c r="O289" s="92" t="str">
        <f t="shared" si="18"/>
        <v>Unique</v>
      </c>
      <c r="P289" s="94">
        <f t="shared" si="16"/>
        <v>7</v>
      </c>
    </row>
    <row r="290" spans="1:16">
      <c r="A290" s="115">
        <v>3101288</v>
      </c>
      <c r="B290" s="85" t="s">
        <v>313</v>
      </c>
      <c r="C290" s="96" t="s">
        <v>17</v>
      </c>
      <c r="D290" s="85" t="s">
        <v>12</v>
      </c>
      <c r="E290" s="96" t="s">
        <v>303</v>
      </c>
      <c r="F290" s="96" t="s">
        <v>14</v>
      </c>
      <c r="G290" s="85" t="s">
        <v>256</v>
      </c>
      <c r="H290" s="98">
        <v>46269</v>
      </c>
      <c r="I290" s="85">
        <v>655000</v>
      </c>
      <c r="J290" s="96">
        <v>2</v>
      </c>
      <c r="K290" s="106">
        <v>76</v>
      </c>
      <c r="L290" s="94" t="str" cm="1">
        <f t="array" ref="L290">_xlfn.IFS(J290&lt;2,"Fresher",J290&lt;=3,"Mid Level",J290&gt;3,"Experienced")</f>
        <v>Mid Level</v>
      </c>
      <c r="M290" s="90" t="str" cm="1">
        <f t="array" ref="M290">_xlfn.IFS(I290&gt;=600000,"High",I290&gt;=450000,"Medium",I290&lt;450000,"Low")</f>
        <v>High</v>
      </c>
      <c r="N290" s="94">
        <f t="shared" si="17"/>
        <v>0.02</v>
      </c>
      <c r="O290" s="92" t="str">
        <f t="shared" si="18"/>
        <v>Unique</v>
      </c>
      <c r="P290" s="94">
        <f t="shared" si="16"/>
        <v>9</v>
      </c>
    </row>
    <row r="291" spans="1:16">
      <c r="A291" s="115">
        <v>3101289</v>
      </c>
      <c r="B291" s="85" t="s">
        <v>262</v>
      </c>
      <c r="C291" s="96" t="s">
        <v>17</v>
      </c>
      <c r="D291" s="85" t="s">
        <v>12</v>
      </c>
      <c r="E291" s="96" t="s">
        <v>13</v>
      </c>
      <c r="F291" s="96" t="s">
        <v>24</v>
      </c>
      <c r="G291" s="85" t="s">
        <v>21</v>
      </c>
      <c r="H291" s="98">
        <v>46291</v>
      </c>
      <c r="I291" s="85">
        <v>390000</v>
      </c>
      <c r="J291" s="96">
        <v>5</v>
      </c>
      <c r="K291" s="106">
        <v>88</v>
      </c>
      <c r="L291" s="94" t="str" cm="1">
        <f t="array" ref="L291">_xlfn.IFS(J291&lt;2,"Fresher",J291&lt;=3,"Mid Level",J291&gt;3,"Experienced")</f>
        <v>Experienced</v>
      </c>
      <c r="M291" s="90" t="str" cm="1">
        <f t="array" ref="M291">_xlfn.IFS(I291&gt;=600000,"High",I291&gt;=450000,"Medium",I291&lt;450000,"Low")</f>
        <v>Low</v>
      </c>
      <c r="N291" s="94">
        <f t="shared" si="17"/>
        <v>0.02</v>
      </c>
      <c r="O291" s="92" t="str">
        <f t="shared" si="18"/>
        <v>Unique</v>
      </c>
      <c r="P291" s="94">
        <f t="shared" si="16"/>
        <v>9</v>
      </c>
    </row>
    <row r="292" spans="1:16">
      <c r="A292" s="115">
        <v>3101290</v>
      </c>
      <c r="B292" s="85" t="s">
        <v>45</v>
      </c>
      <c r="C292" s="96" t="s">
        <v>17</v>
      </c>
      <c r="D292" s="85" t="s">
        <v>18</v>
      </c>
      <c r="E292" s="96" t="s">
        <v>19</v>
      </c>
      <c r="F292" s="96" t="s">
        <v>14</v>
      </c>
      <c r="G292" s="85" t="s">
        <v>21</v>
      </c>
      <c r="H292" s="98">
        <v>46229</v>
      </c>
      <c r="I292" s="85">
        <v>320000</v>
      </c>
      <c r="J292" s="96">
        <v>1</v>
      </c>
      <c r="K292" s="106">
        <v>91</v>
      </c>
      <c r="L292" s="94" t="str" cm="1">
        <f t="array" ref="L292">_xlfn.IFS(J292&lt;2,"Fresher",J292&lt;=3,"Mid Level",J292&gt;3,"Experienced")</f>
        <v>Fresher</v>
      </c>
      <c r="M292" s="90" t="str" cm="1">
        <f t="array" ref="M292">_xlfn.IFS(I292&gt;=600000,"High",I292&gt;=450000,"Medium",I292&lt;450000,"Low")</f>
        <v>Low</v>
      </c>
      <c r="N292" s="94">
        <f t="shared" si="17"/>
        <v>0.02</v>
      </c>
      <c r="O292" s="92" t="str">
        <f t="shared" si="18"/>
        <v>Unique</v>
      </c>
      <c r="P292" s="94">
        <f t="shared" si="16"/>
        <v>7</v>
      </c>
    </row>
    <row r="293" spans="1:16">
      <c r="A293" s="115">
        <v>3101291</v>
      </c>
      <c r="B293" s="85" t="s">
        <v>267</v>
      </c>
      <c r="C293" s="96" t="s">
        <v>27</v>
      </c>
      <c r="D293" s="85" t="s">
        <v>12</v>
      </c>
      <c r="E293" s="96" t="s">
        <v>265</v>
      </c>
      <c r="F293" s="96" t="s">
        <v>20</v>
      </c>
      <c r="G293" s="85" t="s">
        <v>25</v>
      </c>
      <c r="H293" s="98">
        <v>46200</v>
      </c>
      <c r="I293" s="85">
        <v>640000</v>
      </c>
      <c r="J293" s="96">
        <v>5</v>
      </c>
      <c r="K293" s="106">
        <v>69</v>
      </c>
      <c r="L293" s="94" t="str" cm="1">
        <f t="array" ref="L293">_xlfn.IFS(J293&lt;2,"Fresher",J293&lt;=3,"Mid Level",J293&gt;3,"Experienced")</f>
        <v>Experienced</v>
      </c>
      <c r="M293" s="90" t="str" cm="1">
        <f t="array" ref="M293">_xlfn.IFS(I293&gt;=600000,"High",I293&gt;=450000,"Medium",I293&lt;450000,"Low")</f>
        <v>High</v>
      </c>
      <c r="N293" s="94">
        <f t="shared" si="17"/>
        <v>0.05</v>
      </c>
      <c r="O293" s="92" t="str">
        <f t="shared" si="18"/>
        <v>Unique</v>
      </c>
      <c r="P293" s="94">
        <f t="shared" si="16"/>
        <v>6</v>
      </c>
    </row>
    <row r="294" spans="1:16">
      <c r="A294" s="115">
        <v>3101292</v>
      </c>
      <c r="B294" s="85" t="s">
        <v>302</v>
      </c>
      <c r="C294" s="96" t="s">
        <v>264</v>
      </c>
      <c r="D294" s="85" t="s">
        <v>12</v>
      </c>
      <c r="E294" s="96" t="s">
        <v>23</v>
      </c>
      <c r="F294" s="96" t="s">
        <v>20</v>
      </c>
      <c r="G294" s="85" t="s">
        <v>21</v>
      </c>
      <c r="H294" s="98">
        <v>46218</v>
      </c>
      <c r="I294" s="85">
        <v>590000</v>
      </c>
      <c r="J294" s="96">
        <v>1</v>
      </c>
      <c r="K294" s="106">
        <v>95</v>
      </c>
      <c r="L294" s="94" t="str" cm="1">
        <f t="array" ref="L294">_xlfn.IFS(J294&lt;2,"Fresher",J294&lt;=3,"Mid Level",J294&gt;3,"Experienced")</f>
        <v>Fresher</v>
      </c>
      <c r="M294" s="90" t="str" cm="1">
        <f t="array" ref="M294">_xlfn.IFS(I294&gt;=600000,"High",I294&gt;=450000,"Medium",I294&lt;450000,"Low")</f>
        <v>Medium</v>
      </c>
      <c r="N294" s="94">
        <f t="shared" si="17"/>
        <v>0.05</v>
      </c>
      <c r="O294" s="92" t="str">
        <f t="shared" si="18"/>
        <v>Unique</v>
      </c>
      <c r="P294" s="94">
        <f t="shared" si="16"/>
        <v>7</v>
      </c>
    </row>
    <row r="295" spans="1:16">
      <c r="A295" s="115">
        <v>3101293</v>
      </c>
      <c r="B295" s="85" t="s">
        <v>301</v>
      </c>
      <c r="C295" s="96" t="s">
        <v>260</v>
      </c>
      <c r="D295" s="85" t="s">
        <v>12</v>
      </c>
      <c r="E295" s="96" t="s">
        <v>261</v>
      </c>
      <c r="F295" s="96" t="s">
        <v>14</v>
      </c>
      <c r="G295" s="85" t="s">
        <v>21</v>
      </c>
      <c r="H295" s="98">
        <v>46213</v>
      </c>
      <c r="I295" s="85">
        <v>580000</v>
      </c>
      <c r="J295" s="96">
        <v>4</v>
      </c>
      <c r="K295" s="106">
        <v>73</v>
      </c>
      <c r="L295" s="94" t="str" cm="1">
        <f t="array" ref="L295">_xlfn.IFS(J295&lt;2,"Fresher",J295&lt;=3,"Mid Level",J295&gt;3,"Experienced")</f>
        <v>Experienced</v>
      </c>
      <c r="M295" s="90" t="str" cm="1">
        <f t="array" ref="M295">_xlfn.IFS(I295&gt;=600000,"High",I295&gt;=450000,"Medium",I295&lt;450000,"Low")</f>
        <v>Medium</v>
      </c>
      <c r="N295" s="94">
        <f t="shared" si="17"/>
        <v>0.02</v>
      </c>
      <c r="O295" s="92" t="str">
        <f t="shared" si="18"/>
        <v>Unique</v>
      </c>
      <c r="P295" s="94">
        <f t="shared" si="16"/>
        <v>7</v>
      </c>
    </row>
    <row r="296" spans="1:16">
      <c r="A296" s="115">
        <v>3101294</v>
      </c>
      <c r="B296" s="85" t="s">
        <v>266</v>
      </c>
      <c r="C296" s="96" t="s">
        <v>258</v>
      </c>
      <c r="D296" s="85" t="s">
        <v>12</v>
      </c>
      <c r="E296" s="96" t="s">
        <v>303</v>
      </c>
      <c r="F296" s="96" t="s">
        <v>34</v>
      </c>
      <c r="G296" s="85" t="s">
        <v>21</v>
      </c>
      <c r="H296" s="98">
        <v>46235</v>
      </c>
      <c r="I296" s="85">
        <v>585000</v>
      </c>
      <c r="J296" s="96">
        <v>3</v>
      </c>
      <c r="K296" s="106">
        <v>84</v>
      </c>
      <c r="L296" s="94" t="str" cm="1">
        <f t="array" ref="L296">_xlfn.IFS(J296&lt;2,"Fresher",J296&lt;=3,"Mid Level",J296&gt;3,"Experienced")</f>
        <v>Mid Level</v>
      </c>
      <c r="M296" s="90" t="str" cm="1">
        <f t="array" ref="M296">_xlfn.IFS(I296&gt;=600000,"High",I296&gt;=450000,"Medium",I296&lt;450000,"Low")</f>
        <v>Medium</v>
      </c>
      <c r="N296" s="94">
        <f t="shared" si="17"/>
        <v>0.01</v>
      </c>
      <c r="O296" s="92" t="str">
        <f t="shared" si="18"/>
        <v>Unique</v>
      </c>
      <c r="P296" s="94">
        <f t="shared" si="16"/>
        <v>8</v>
      </c>
    </row>
    <row r="297" spans="1:16">
      <c r="A297" s="115">
        <v>3101295</v>
      </c>
      <c r="B297" s="85" t="s">
        <v>49</v>
      </c>
      <c r="C297" s="96" t="s">
        <v>27</v>
      </c>
      <c r="D297" s="85" t="s">
        <v>18</v>
      </c>
      <c r="E297" s="96" t="s">
        <v>19</v>
      </c>
      <c r="F297" s="96" t="s">
        <v>34</v>
      </c>
      <c r="G297" s="85" t="s">
        <v>21</v>
      </c>
      <c r="H297" s="98">
        <v>46256</v>
      </c>
      <c r="I297" s="85">
        <v>465000</v>
      </c>
      <c r="J297" s="96">
        <v>0</v>
      </c>
      <c r="K297" s="106">
        <v>79</v>
      </c>
      <c r="L297" s="94" t="str" cm="1">
        <f t="array" ref="L297">_xlfn.IFS(J297&lt;2,"Fresher",J297&lt;=3,"Mid Level",J297&gt;3,"Experienced")</f>
        <v>Fresher</v>
      </c>
      <c r="M297" s="90" t="str" cm="1">
        <f t="array" ref="M297">_xlfn.IFS(I297&gt;=600000,"High",I297&gt;=450000,"Medium",I297&lt;450000,"Low")</f>
        <v>Medium</v>
      </c>
      <c r="N297" s="94">
        <f t="shared" si="17"/>
        <v>0.01</v>
      </c>
      <c r="O297" s="92" t="str">
        <f t="shared" si="18"/>
        <v>Unique</v>
      </c>
      <c r="P297" s="94">
        <f t="shared" si="16"/>
        <v>8</v>
      </c>
    </row>
    <row r="298" spans="1:16">
      <c r="A298" s="115">
        <v>3101296</v>
      </c>
      <c r="B298" s="85" t="s">
        <v>306</v>
      </c>
      <c r="C298" s="96" t="s">
        <v>38</v>
      </c>
      <c r="D298" s="85" t="s">
        <v>12</v>
      </c>
      <c r="E298" s="96" t="s">
        <v>261</v>
      </c>
      <c r="F298" s="96" t="s">
        <v>14</v>
      </c>
      <c r="G298" s="85" t="s">
        <v>25</v>
      </c>
      <c r="H298" s="98">
        <v>46247</v>
      </c>
      <c r="I298" s="85">
        <v>485000</v>
      </c>
      <c r="J298" s="96">
        <v>0</v>
      </c>
      <c r="K298" s="106">
        <v>71</v>
      </c>
      <c r="L298" s="94" t="str" cm="1">
        <f t="array" ref="L298">_xlfn.IFS(J298&lt;2,"Fresher",J298&lt;=3,"Mid Level",J298&gt;3,"Experienced")</f>
        <v>Fresher</v>
      </c>
      <c r="M298" s="90" t="str" cm="1">
        <f t="array" ref="M298">_xlfn.IFS(I298&gt;=600000,"High",I298&gt;=450000,"Medium",I298&lt;450000,"Low")</f>
        <v>Medium</v>
      </c>
      <c r="N298" s="94">
        <f t="shared" si="17"/>
        <v>0.02</v>
      </c>
      <c r="O298" s="92" t="str">
        <f t="shared" si="18"/>
        <v>Unique</v>
      </c>
      <c r="P298" s="94">
        <f t="shared" si="16"/>
        <v>8</v>
      </c>
    </row>
    <row r="299" spans="1:16">
      <c r="A299" s="115">
        <v>3101297</v>
      </c>
      <c r="B299" s="85" t="s">
        <v>253</v>
      </c>
      <c r="C299" s="96" t="s">
        <v>268</v>
      </c>
      <c r="D299" s="85" t="s">
        <v>12</v>
      </c>
      <c r="E299" s="96" t="s">
        <v>303</v>
      </c>
      <c r="F299" s="96" t="s">
        <v>14</v>
      </c>
      <c r="G299" s="85" t="s">
        <v>21</v>
      </c>
      <c r="H299" s="98">
        <v>46218</v>
      </c>
      <c r="I299" s="85">
        <v>765000</v>
      </c>
      <c r="J299" s="96">
        <v>1</v>
      </c>
      <c r="K299" s="106">
        <v>89</v>
      </c>
      <c r="L299" s="94" t="str" cm="1">
        <f t="array" ref="L299">_xlfn.IFS(J299&lt;2,"Fresher",J299&lt;=3,"Mid Level",J299&gt;3,"Experienced")</f>
        <v>Fresher</v>
      </c>
      <c r="M299" s="90" t="str" cm="1">
        <f t="array" ref="M299">_xlfn.IFS(I299&gt;=600000,"High",I299&gt;=450000,"Medium",I299&lt;450000,"Low")</f>
        <v>High</v>
      </c>
      <c r="N299" s="94">
        <f t="shared" si="17"/>
        <v>0.02</v>
      </c>
      <c r="O299" s="92" t="str">
        <f t="shared" si="18"/>
        <v>Unique</v>
      </c>
      <c r="P299" s="94">
        <f t="shared" si="16"/>
        <v>7</v>
      </c>
    </row>
    <row r="300" spans="1:16">
      <c r="A300" s="115">
        <v>3101298</v>
      </c>
      <c r="B300" s="85" t="s">
        <v>309</v>
      </c>
      <c r="C300" s="96" t="s">
        <v>17</v>
      </c>
      <c r="D300" s="85" t="s">
        <v>32</v>
      </c>
      <c r="E300" s="96" t="s">
        <v>33</v>
      </c>
      <c r="F300" s="96" t="s">
        <v>34</v>
      </c>
      <c r="G300" s="85" t="s">
        <v>25</v>
      </c>
      <c r="H300" s="98">
        <v>46208</v>
      </c>
      <c r="I300" s="85">
        <v>425000</v>
      </c>
      <c r="J300" s="96">
        <v>0</v>
      </c>
      <c r="K300" s="106">
        <v>67</v>
      </c>
      <c r="L300" s="94" t="str" cm="1">
        <f t="array" ref="L300">_xlfn.IFS(J300&lt;2,"Fresher",J300&lt;=3,"Mid Level",J300&gt;3,"Experienced")</f>
        <v>Fresher</v>
      </c>
      <c r="M300" s="90" t="str" cm="1">
        <f t="array" ref="M300">_xlfn.IFS(I300&gt;=600000,"High",I300&gt;=450000,"Medium",I300&lt;450000,"Low")</f>
        <v>Low</v>
      </c>
      <c r="N300" s="94">
        <f t="shared" si="17"/>
        <v>0.01</v>
      </c>
      <c r="O300" s="92" t="str">
        <f t="shared" si="18"/>
        <v>Unique</v>
      </c>
      <c r="P300" s="94">
        <f t="shared" si="16"/>
        <v>7</v>
      </c>
    </row>
    <row r="301" spans="1:16">
      <c r="A301" s="115">
        <v>3101299</v>
      </c>
      <c r="B301" s="85" t="s">
        <v>305</v>
      </c>
      <c r="C301" s="96" t="s">
        <v>260</v>
      </c>
      <c r="D301" s="85" t="s">
        <v>12</v>
      </c>
      <c r="E301" s="96" t="s">
        <v>265</v>
      </c>
      <c r="F301" s="96" t="s">
        <v>14</v>
      </c>
      <c r="G301" s="85" t="s">
        <v>21</v>
      </c>
      <c r="H301" s="98">
        <v>46262</v>
      </c>
      <c r="I301" s="85">
        <v>680000</v>
      </c>
      <c r="J301" s="96">
        <v>3</v>
      </c>
      <c r="K301" s="106">
        <v>86</v>
      </c>
      <c r="L301" s="94" t="str" cm="1">
        <f t="array" ref="L301">_xlfn.IFS(J301&lt;2,"Fresher",J301&lt;=3,"Mid Level",J301&gt;3,"Experienced")</f>
        <v>Mid Level</v>
      </c>
      <c r="M301" s="90" t="str" cm="1">
        <f t="array" ref="M301">_xlfn.IFS(I301&gt;=600000,"High",I301&gt;=450000,"Medium",I301&lt;450000,"Low")</f>
        <v>High</v>
      </c>
      <c r="N301" s="94">
        <f t="shared" si="17"/>
        <v>0.02</v>
      </c>
      <c r="O301" s="92" t="str">
        <f t="shared" si="18"/>
        <v>Unique</v>
      </c>
      <c r="P301" s="94">
        <f t="shared" si="16"/>
        <v>8</v>
      </c>
    </row>
    <row r="302" spans="1:16">
      <c r="A302" s="115">
        <v>3101300</v>
      </c>
      <c r="B302" s="85" t="s">
        <v>309</v>
      </c>
      <c r="C302" s="96" t="s">
        <v>38</v>
      </c>
      <c r="D302" s="85" t="s">
        <v>32</v>
      </c>
      <c r="E302" s="96" t="s">
        <v>33</v>
      </c>
      <c r="F302" s="96" t="s">
        <v>20</v>
      </c>
      <c r="G302" s="85" t="s">
        <v>25</v>
      </c>
      <c r="H302" s="98">
        <v>46163</v>
      </c>
      <c r="I302" s="85">
        <v>280000</v>
      </c>
      <c r="J302" s="96">
        <v>4</v>
      </c>
      <c r="K302" s="106">
        <v>92</v>
      </c>
      <c r="L302" s="94" t="str" cm="1">
        <f t="array" ref="L302">_xlfn.IFS(J302&lt;2,"Fresher",J302&lt;=3,"Mid Level",J302&gt;3,"Experienced")</f>
        <v>Experienced</v>
      </c>
      <c r="M302" s="90" t="str" cm="1">
        <f t="array" ref="M302">_xlfn.IFS(I302&gt;=600000,"High",I302&gt;=450000,"Medium",I302&lt;450000,"Low")</f>
        <v>Low</v>
      </c>
      <c r="N302" s="94">
        <f t="shared" si="17"/>
        <v>0.05</v>
      </c>
      <c r="O302" s="92" t="str">
        <f t="shared" si="18"/>
        <v>Unique</v>
      </c>
      <c r="P302" s="94">
        <f t="shared" si="16"/>
        <v>5</v>
      </c>
    </row>
    <row r="303" spans="1:16">
      <c r="A303" s="115">
        <v>3101301</v>
      </c>
      <c r="B303" s="85" t="s">
        <v>283</v>
      </c>
      <c r="C303" s="96" t="s">
        <v>260</v>
      </c>
      <c r="D303" s="85" t="s">
        <v>12</v>
      </c>
      <c r="E303" s="96" t="s">
        <v>23</v>
      </c>
      <c r="F303" s="96" t="s">
        <v>20</v>
      </c>
      <c r="G303" s="85" t="s">
        <v>256</v>
      </c>
      <c r="H303" s="98">
        <v>46204</v>
      </c>
      <c r="I303" s="85">
        <v>580000</v>
      </c>
      <c r="J303" s="96">
        <v>5</v>
      </c>
      <c r="K303" s="106">
        <v>69</v>
      </c>
      <c r="L303" s="94" t="str" cm="1">
        <f t="array" ref="L303">_xlfn.IFS(J303&lt;2,"Fresher",J303&lt;=3,"Mid Level",J303&gt;3,"Experienced")</f>
        <v>Experienced</v>
      </c>
      <c r="M303" s="90" t="str" cm="1">
        <f t="array" ref="M303">_xlfn.IFS(I303&gt;=600000,"High",I303&gt;=450000,"Medium",I303&lt;450000,"Low")</f>
        <v>Medium</v>
      </c>
      <c r="N303" s="94">
        <f t="shared" si="17"/>
        <v>0.05</v>
      </c>
      <c r="O303" s="92" t="str">
        <f t="shared" si="18"/>
        <v>Unique</v>
      </c>
      <c r="P303" s="94">
        <f t="shared" si="16"/>
        <v>7</v>
      </c>
    </row>
    <row r="304" spans="1:16">
      <c r="A304" s="115">
        <v>3101302</v>
      </c>
      <c r="B304" s="85" t="s">
        <v>266</v>
      </c>
      <c r="C304" s="96" t="s">
        <v>258</v>
      </c>
      <c r="D304" s="85" t="s">
        <v>18</v>
      </c>
      <c r="E304" s="96" t="s">
        <v>39</v>
      </c>
      <c r="F304" s="96" t="s">
        <v>34</v>
      </c>
      <c r="G304" s="85" t="s">
        <v>21</v>
      </c>
      <c r="H304" s="98">
        <v>46203</v>
      </c>
      <c r="I304" s="85">
        <v>405000</v>
      </c>
      <c r="J304" s="96">
        <v>0</v>
      </c>
      <c r="K304" s="106">
        <v>81</v>
      </c>
      <c r="L304" s="94" t="str" cm="1">
        <f t="array" ref="L304">_xlfn.IFS(J304&lt;2,"Fresher",J304&lt;=3,"Mid Level",J304&gt;3,"Experienced")</f>
        <v>Fresher</v>
      </c>
      <c r="M304" s="90" t="str" cm="1">
        <f t="array" ref="M304">_xlfn.IFS(I304&gt;=600000,"High",I304&gt;=450000,"Medium",I304&lt;450000,"Low")</f>
        <v>Low</v>
      </c>
      <c r="N304" s="94">
        <f t="shared" si="17"/>
        <v>0.01</v>
      </c>
      <c r="O304" s="92" t="str">
        <f t="shared" si="18"/>
        <v>Unique</v>
      </c>
      <c r="P304" s="94">
        <f t="shared" si="16"/>
        <v>6</v>
      </c>
    </row>
    <row r="305" spans="1:16">
      <c r="A305" s="115">
        <v>3101303</v>
      </c>
      <c r="B305" s="85" t="s">
        <v>289</v>
      </c>
      <c r="C305" s="96" t="s">
        <v>264</v>
      </c>
      <c r="D305" s="85" t="s">
        <v>12</v>
      </c>
      <c r="E305" s="96" t="s">
        <v>261</v>
      </c>
      <c r="F305" s="96" t="s">
        <v>20</v>
      </c>
      <c r="G305" s="85" t="s">
        <v>256</v>
      </c>
      <c r="H305" s="98">
        <v>46173</v>
      </c>
      <c r="I305" s="85">
        <v>435000</v>
      </c>
      <c r="J305" s="96">
        <v>4</v>
      </c>
      <c r="K305" s="106">
        <v>94</v>
      </c>
      <c r="L305" s="94" t="str" cm="1">
        <f t="array" ref="L305">_xlfn.IFS(J305&lt;2,"Fresher",J305&lt;=3,"Mid Level",J305&gt;3,"Experienced")</f>
        <v>Experienced</v>
      </c>
      <c r="M305" s="90" t="str" cm="1">
        <f t="array" ref="M305">_xlfn.IFS(I305&gt;=600000,"High",I305&gt;=450000,"Medium",I305&lt;450000,"Low")</f>
        <v>Low</v>
      </c>
      <c r="N305" s="94">
        <f t="shared" si="17"/>
        <v>0.05</v>
      </c>
      <c r="O305" s="92" t="str">
        <f t="shared" si="18"/>
        <v>Unique</v>
      </c>
      <c r="P305" s="94">
        <f t="shared" si="16"/>
        <v>5</v>
      </c>
    </row>
    <row r="306" spans="1:16">
      <c r="A306" s="115">
        <v>3101304</v>
      </c>
      <c r="B306" s="85" t="s">
        <v>296</v>
      </c>
      <c r="C306" s="96" t="s">
        <v>264</v>
      </c>
      <c r="D306" s="85" t="s">
        <v>28</v>
      </c>
      <c r="E306" s="96" t="s">
        <v>29</v>
      </c>
      <c r="F306" s="96" t="s">
        <v>20</v>
      </c>
      <c r="G306" s="85" t="s">
        <v>21</v>
      </c>
      <c r="H306" s="98">
        <v>46271</v>
      </c>
      <c r="I306" s="85">
        <v>385000</v>
      </c>
      <c r="J306" s="96">
        <v>1</v>
      </c>
      <c r="K306" s="106">
        <v>77</v>
      </c>
      <c r="L306" s="94" t="str" cm="1">
        <f t="array" ref="L306">_xlfn.IFS(J306&lt;2,"Fresher",J306&lt;=3,"Mid Level",J306&gt;3,"Experienced")</f>
        <v>Fresher</v>
      </c>
      <c r="M306" s="90" t="str" cm="1">
        <f t="array" ref="M306">_xlfn.IFS(I306&gt;=600000,"High",I306&gt;=450000,"Medium",I306&lt;450000,"Low")</f>
        <v>Low</v>
      </c>
      <c r="N306" s="94">
        <f t="shared" si="17"/>
        <v>0.05</v>
      </c>
      <c r="O306" s="92" t="str">
        <f t="shared" si="18"/>
        <v>Unique</v>
      </c>
      <c r="P306" s="94">
        <f t="shared" si="16"/>
        <v>9</v>
      </c>
    </row>
    <row r="307" spans="1:16">
      <c r="A307" s="115">
        <v>3101305</v>
      </c>
      <c r="B307" s="85" t="s">
        <v>309</v>
      </c>
      <c r="C307" s="96" t="s">
        <v>258</v>
      </c>
      <c r="D307" s="85" t="s">
        <v>12</v>
      </c>
      <c r="E307" s="96" t="s">
        <v>261</v>
      </c>
      <c r="F307" s="96" t="s">
        <v>14</v>
      </c>
      <c r="G307" s="85" t="s">
        <v>15</v>
      </c>
      <c r="H307" s="98">
        <v>46182</v>
      </c>
      <c r="I307" s="85">
        <v>475000</v>
      </c>
      <c r="J307" s="96">
        <v>0</v>
      </c>
      <c r="K307" s="106">
        <v>72</v>
      </c>
      <c r="L307" s="94" t="str" cm="1">
        <f t="array" ref="L307">_xlfn.IFS(J307&lt;2,"Fresher",J307&lt;=3,"Mid Level",J307&gt;3,"Experienced")</f>
        <v>Fresher</v>
      </c>
      <c r="M307" s="90" t="str" cm="1">
        <f t="array" ref="M307">_xlfn.IFS(I307&gt;=600000,"High",I307&gt;=450000,"Medium",I307&lt;450000,"Low")</f>
        <v>Medium</v>
      </c>
      <c r="N307" s="94">
        <f t="shared" si="17"/>
        <v>0.02</v>
      </c>
      <c r="O307" s="92" t="str">
        <f t="shared" si="18"/>
        <v>Unique</v>
      </c>
      <c r="P307" s="94">
        <f t="shared" si="16"/>
        <v>6</v>
      </c>
    </row>
    <row r="308" spans="1:16">
      <c r="A308" s="115">
        <v>3101306</v>
      </c>
      <c r="B308" s="85" t="s">
        <v>269</v>
      </c>
      <c r="C308" s="96" t="s">
        <v>264</v>
      </c>
      <c r="D308" s="85" t="s">
        <v>12</v>
      </c>
      <c r="E308" s="96" t="s">
        <v>36</v>
      </c>
      <c r="F308" s="96" t="s">
        <v>34</v>
      </c>
      <c r="G308" s="85" t="s">
        <v>256</v>
      </c>
      <c r="H308" s="98">
        <v>46150</v>
      </c>
      <c r="I308" s="85">
        <v>735000</v>
      </c>
      <c r="J308" s="96">
        <v>1</v>
      </c>
      <c r="K308" s="106">
        <v>90</v>
      </c>
      <c r="L308" s="94" t="str" cm="1">
        <f t="array" ref="L308">_xlfn.IFS(J308&lt;2,"Fresher",J308&lt;=3,"Mid Level",J308&gt;3,"Experienced")</f>
        <v>Fresher</v>
      </c>
      <c r="M308" s="90" t="str" cm="1">
        <f t="array" ref="M308">_xlfn.IFS(I308&gt;=600000,"High",I308&gt;=450000,"Medium",I308&lt;450000,"Low")</f>
        <v>High</v>
      </c>
      <c r="N308" s="94">
        <f t="shared" si="17"/>
        <v>0.01</v>
      </c>
      <c r="O308" s="92" t="str">
        <f t="shared" si="18"/>
        <v>Unique</v>
      </c>
      <c r="P308" s="94">
        <f t="shared" si="16"/>
        <v>5</v>
      </c>
    </row>
    <row r="309" spans="1:16">
      <c r="A309" s="115">
        <v>3101307</v>
      </c>
      <c r="B309" s="85" t="s">
        <v>301</v>
      </c>
      <c r="C309" s="96" t="s">
        <v>268</v>
      </c>
      <c r="D309" s="85" t="s">
        <v>18</v>
      </c>
      <c r="E309" s="96" t="s">
        <v>19</v>
      </c>
      <c r="F309" s="96" t="s">
        <v>14</v>
      </c>
      <c r="G309" s="85" t="s">
        <v>256</v>
      </c>
      <c r="H309" s="98">
        <v>46241</v>
      </c>
      <c r="I309" s="85">
        <v>460000</v>
      </c>
      <c r="J309" s="96">
        <v>4</v>
      </c>
      <c r="K309" s="106">
        <v>74</v>
      </c>
      <c r="L309" s="94" t="str" cm="1">
        <f t="array" ref="L309">_xlfn.IFS(J309&lt;2,"Fresher",J309&lt;=3,"Mid Level",J309&gt;3,"Experienced")</f>
        <v>Experienced</v>
      </c>
      <c r="M309" s="90" t="str" cm="1">
        <f t="array" ref="M309">_xlfn.IFS(I309&gt;=600000,"High",I309&gt;=450000,"Medium",I309&lt;450000,"Low")</f>
        <v>Medium</v>
      </c>
      <c r="N309" s="94">
        <f t="shared" si="17"/>
        <v>0.02</v>
      </c>
      <c r="O309" s="92" t="str">
        <f t="shared" si="18"/>
        <v>Unique</v>
      </c>
      <c r="P309" s="94">
        <f t="shared" si="16"/>
        <v>8</v>
      </c>
    </row>
    <row r="310" spans="1:16">
      <c r="A310" s="115">
        <v>3101308</v>
      </c>
      <c r="B310" s="85" t="s">
        <v>312</v>
      </c>
      <c r="C310" s="96" t="s">
        <v>260</v>
      </c>
      <c r="D310" s="85" t="s">
        <v>18</v>
      </c>
      <c r="E310" s="96" t="s">
        <v>39</v>
      </c>
      <c r="F310" s="96" t="s">
        <v>20</v>
      </c>
      <c r="G310" s="85" t="s">
        <v>25</v>
      </c>
      <c r="H310" s="98">
        <v>46175</v>
      </c>
      <c r="I310" s="85">
        <v>510000</v>
      </c>
      <c r="J310" s="96">
        <v>3</v>
      </c>
      <c r="K310" s="106">
        <v>85</v>
      </c>
      <c r="L310" s="94" t="str" cm="1">
        <f t="array" ref="L310">_xlfn.IFS(J310&lt;2,"Fresher",J310&lt;=3,"Mid Level",J310&gt;3,"Experienced")</f>
        <v>Mid Level</v>
      </c>
      <c r="M310" s="90" t="str" cm="1">
        <f t="array" ref="M310">_xlfn.IFS(I310&gt;=600000,"High",I310&gt;=450000,"Medium",I310&lt;450000,"Low")</f>
        <v>Medium</v>
      </c>
      <c r="N310" s="94">
        <f t="shared" si="17"/>
        <v>0.05</v>
      </c>
      <c r="O310" s="92" t="str">
        <f t="shared" si="18"/>
        <v>Unique</v>
      </c>
      <c r="P310" s="94">
        <f t="shared" si="16"/>
        <v>6</v>
      </c>
    </row>
    <row r="311" spans="1:16">
      <c r="A311" s="115">
        <v>3101309</v>
      </c>
      <c r="B311" s="85" t="s">
        <v>299</v>
      </c>
      <c r="C311" s="96" t="s">
        <v>264</v>
      </c>
      <c r="D311" s="85" t="s">
        <v>12</v>
      </c>
      <c r="E311" s="96" t="s">
        <v>303</v>
      </c>
      <c r="F311" s="96" t="s">
        <v>20</v>
      </c>
      <c r="G311" s="85" t="s">
        <v>21</v>
      </c>
      <c r="H311" s="98">
        <v>46254</v>
      </c>
      <c r="I311" s="85">
        <v>735000</v>
      </c>
      <c r="J311" s="96">
        <v>0</v>
      </c>
      <c r="K311" s="106">
        <v>94</v>
      </c>
      <c r="L311" s="94" t="str" cm="1">
        <f t="array" ref="L311">_xlfn.IFS(J311&lt;2,"Fresher",J311&lt;=3,"Mid Level",J311&gt;3,"Experienced")</f>
        <v>Fresher</v>
      </c>
      <c r="M311" s="90" t="str" cm="1">
        <f t="array" ref="M311">_xlfn.IFS(I311&gt;=600000,"High",I311&gt;=450000,"Medium",I311&lt;450000,"Low")</f>
        <v>High</v>
      </c>
      <c r="N311" s="94">
        <f t="shared" si="17"/>
        <v>0.05</v>
      </c>
      <c r="O311" s="92" t="str">
        <f t="shared" si="18"/>
        <v>Unique</v>
      </c>
      <c r="P311" s="94">
        <f t="shared" si="16"/>
        <v>8</v>
      </c>
    </row>
    <row r="312" spans="1:16">
      <c r="A312" s="115">
        <v>3101310</v>
      </c>
      <c r="B312" s="85" t="s">
        <v>257</v>
      </c>
      <c r="C312" s="96" t="s">
        <v>260</v>
      </c>
      <c r="D312" s="85" t="s">
        <v>32</v>
      </c>
      <c r="E312" s="96" t="s">
        <v>33</v>
      </c>
      <c r="F312" s="96" t="s">
        <v>24</v>
      </c>
      <c r="G312" s="85" t="s">
        <v>256</v>
      </c>
      <c r="H312" s="98">
        <v>46250</v>
      </c>
      <c r="I312" s="85">
        <v>295000</v>
      </c>
      <c r="J312" s="96">
        <v>3</v>
      </c>
      <c r="K312" s="106">
        <v>68</v>
      </c>
      <c r="L312" s="94" t="str" cm="1">
        <f t="array" ref="L312">_xlfn.IFS(J312&lt;2,"Fresher",J312&lt;=3,"Mid Level",J312&gt;3,"Experienced")</f>
        <v>Mid Level</v>
      </c>
      <c r="M312" s="90" t="str" cm="1">
        <f t="array" ref="M312">_xlfn.IFS(I312&gt;=600000,"High",I312&gt;=450000,"Medium",I312&lt;450000,"Low")</f>
        <v>Low</v>
      </c>
      <c r="N312" s="94">
        <f t="shared" si="17"/>
        <v>0.02</v>
      </c>
      <c r="O312" s="92" t="str">
        <f t="shared" si="18"/>
        <v>Unique</v>
      </c>
      <c r="P312" s="94">
        <f t="shared" si="16"/>
        <v>8</v>
      </c>
    </row>
    <row r="313" spans="1:16">
      <c r="A313" s="115">
        <v>3101311</v>
      </c>
      <c r="B313" s="85" t="s">
        <v>312</v>
      </c>
      <c r="C313" s="96" t="s">
        <v>264</v>
      </c>
      <c r="D313" s="85" t="s">
        <v>12</v>
      </c>
      <c r="E313" s="96" t="s">
        <v>265</v>
      </c>
      <c r="F313" s="96" t="s">
        <v>14</v>
      </c>
      <c r="G313" s="85" t="s">
        <v>21</v>
      </c>
      <c r="H313" s="98">
        <v>46192</v>
      </c>
      <c r="I313" s="85">
        <v>590000</v>
      </c>
      <c r="J313" s="96">
        <v>2</v>
      </c>
      <c r="K313" s="106">
        <v>87</v>
      </c>
      <c r="L313" s="94" t="str" cm="1">
        <f t="array" ref="L313">_xlfn.IFS(J313&lt;2,"Fresher",J313&lt;=3,"Mid Level",J313&gt;3,"Experienced")</f>
        <v>Mid Level</v>
      </c>
      <c r="M313" s="90" t="str" cm="1">
        <f t="array" ref="M313">_xlfn.IFS(I313&gt;=600000,"High",I313&gt;=450000,"Medium",I313&lt;450000,"Low")</f>
        <v>Medium</v>
      </c>
      <c r="N313" s="94">
        <f t="shared" si="17"/>
        <v>0.02</v>
      </c>
      <c r="O313" s="92" t="str">
        <f t="shared" si="18"/>
        <v>Unique</v>
      </c>
      <c r="P313" s="94">
        <f t="shared" si="16"/>
        <v>6</v>
      </c>
    </row>
    <row r="314" spans="1:16">
      <c r="A314" s="115">
        <v>3101312</v>
      </c>
      <c r="B314" s="85" t="s">
        <v>299</v>
      </c>
      <c r="C314" s="96" t="s">
        <v>17</v>
      </c>
      <c r="D314" s="85" t="s">
        <v>28</v>
      </c>
      <c r="E314" s="96" t="s">
        <v>297</v>
      </c>
      <c r="F314" s="96" t="s">
        <v>20</v>
      </c>
      <c r="G314" s="85" t="s">
        <v>21</v>
      </c>
      <c r="H314" s="98">
        <v>46196</v>
      </c>
      <c r="I314" s="85">
        <v>580000</v>
      </c>
      <c r="J314" s="96">
        <v>3</v>
      </c>
      <c r="K314" s="106">
        <v>82</v>
      </c>
      <c r="L314" s="94" t="str" cm="1">
        <f t="array" ref="L314">_xlfn.IFS(J314&lt;2,"Fresher",J314&lt;=3,"Mid Level",J314&gt;3,"Experienced")</f>
        <v>Mid Level</v>
      </c>
      <c r="M314" s="90" t="str" cm="1">
        <f t="array" ref="M314">_xlfn.IFS(I314&gt;=600000,"High",I314&gt;=450000,"Medium",I314&lt;450000,"Low")</f>
        <v>Medium</v>
      </c>
      <c r="N314" s="94">
        <f t="shared" si="17"/>
        <v>0.05</v>
      </c>
      <c r="O314" s="92" t="str">
        <f t="shared" si="18"/>
        <v>Unique</v>
      </c>
      <c r="P314" s="94">
        <f t="shared" si="16"/>
        <v>6</v>
      </c>
    </row>
    <row r="315" spans="1:16">
      <c r="A315" s="115">
        <v>3101313</v>
      </c>
      <c r="B315" s="85" t="s">
        <v>271</v>
      </c>
      <c r="C315" s="96" t="s">
        <v>11</v>
      </c>
      <c r="D315" s="85" t="s">
        <v>12</v>
      </c>
      <c r="E315" s="96" t="s">
        <v>265</v>
      </c>
      <c r="F315" s="96" t="s">
        <v>24</v>
      </c>
      <c r="G315" s="85" t="s">
        <v>15</v>
      </c>
      <c r="H315" s="98">
        <v>46290</v>
      </c>
      <c r="I315" s="85">
        <v>680000</v>
      </c>
      <c r="J315" s="96">
        <v>0</v>
      </c>
      <c r="K315" s="106">
        <v>76</v>
      </c>
      <c r="L315" s="94" t="str" cm="1">
        <f t="array" ref="L315">_xlfn.IFS(J315&lt;2,"Fresher",J315&lt;=3,"Mid Level",J315&gt;3,"Experienced")</f>
        <v>Fresher</v>
      </c>
      <c r="M315" s="90" t="str" cm="1">
        <f t="array" ref="M315">_xlfn.IFS(I315&gt;=600000,"High",I315&gt;=450000,"Medium",I315&lt;450000,"Low")</f>
        <v>High</v>
      </c>
      <c r="N315" s="94">
        <f t="shared" si="17"/>
        <v>0.02</v>
      </c>
      <c r="O315" s="92" t="str">
        <f t="shared" si="18"/>
        <v>Unique</v>
      </c>
      <c r="P315" s="94">
        <f t="shared" si="16"/>
        <v>9</v>
      </c>
    </row>
    <row r="316" spans="1:16">
      <c r="A316" s="115">
        <v>3101314</v>
      </c>
      <c r="B316" s="85" t="s">
        <v>45</v>
      </c>
      <c r="C316" s="96" t="s">
        <v>27</v>
      </c>
      <c r="D316" s="85" t="s">
        <v>18</v>
      </c>
      <c r="E316" s="96" t="s">
        <v>39</v>
      </c>
      <c r="F316" s="96" t="s">
        <v>14</v>
      </c>
      <c r="G316" s="85" t="s">
        <v>15</v>
      </c>
      <c r="H316" s="98">
        <v>46228</v>
      </c>
      <c r="I316" s="85">
        <v>425000</v>
      </c>
      <c r="J316" s="96">
        <v>3</v>
      </c>
      <c r="K316" s="106">
        <v>88</v>
      </c>
      <c r="L316" s="94" t="str" cm="1">
        <f t="array" ref="L316">_xlfn.IFS(J316&lt;2,"Fresher",J316&lt;=3,"Mid Level",J316&gt;3,"Experienced")</f>
        <v>Mid Level</v>
      </c>
      <c r="M316" s="90" t="str" cm="1">
        <f t="array" ref="M316">_xlfn.IFS(I316&gt;=600000,"High",I316&gt;=450000,"Medium",I316&lt;450000,"Low")</f>
        <v>Low</v>
      </c>
      <c r="N316" s="94">
        <f t="shared" si="17"/>
        <v>0.02</v>
      </c>
      <c r="O316" s="92" t="str">
        <f t="shared" si="18"/>
        <v>Unique</v>
      </c>
      <c r="P316" s="94">
        <f t="shared" si="16"/>
        <v>7</v>
      </c>
    </row>
    <row r="317" spans="1:16">
      <c r="A317" s="115">
        <v>3101315</v>
      </c>
      <c r="B317" s="85" t="s">
        <v>274</v>
      </c>
      <c r="C317" s="96" t="s">
        <v>264</v>
      </c>
      <c r="D317" s="85" t="s">
        <v>18</v>
      </c>
      <c r="E317" s="96" t="s">
        <v>19</v>
      </c>
      <c r="F317" s="96" t="s">
        <v>14</v>
      </c>
      <c r="G317" s="85" t="s">
        <v>21</v>
      </c>
      <c r="H317" s="98">
        <v>46270</v>
      </c>
      <c r="I317" s="85">
        <v>460000</v>
      </c>
      <c r="J317" s="96">
        <v>3</v>
      </c>
      <c r="K317" s="106">
        <v>91</v>
      </c>
      <c r="L317" s="94" t="str" cm="1">
        <f t="array" ref="L317">_xlfn.IFS(J317&lt;2,"Fresher",J317&lt;=3,"Mid Level",J317&gt;3,"Experienced")</f>
        <v>Mid Level</v>
      </c>
      <c r="M317" s="90" t="str" cm="1">
        <f t="array" ref="M317">_xlfn.IFS(I317&gt;=600000,"High",I317&gt;=450000,"Medium",I317&lt;450000,"Low")</f>
        <v>Medium</v>
      </c>
      <c r="N317" s="94">
        <f t="shared" si="17"/>
        <v>0.02</v>
      </c>
      <c r="O317" s="92" t="str">
        <f t="shared" si="18"/>
        <v>Unique</v>
      </c>
      <c r="P317" s="94">
        <f t="shared" si="16"/>
        <v>9</v>
      </c>
    </row>
    <row r="318" spans="1:16">
      <c r="A318" s="115">
        <v>3101316</v>
      </c>
      <c r="B318" s="85" t="s">
        <v>282</v>
      </c>
      <c r="C318" s="96" t="s">
        <v>260</v>
      </c>
      <c r="D318" s="85" t="s">
        <v>12</v>
      </c>
      <c r="E318" s="96" t="s">
        <v>303</v>
      </c>
      <c r="F318" s="96" t="s">
        <v>20</v>
      </c>
      <c r="G318" s="85" t="s">
        <v>25</v>
      </c>
      <c r="H318" s="98">
        <v>46152</v>
      </c>
      <c r="I318" s="85">
        <v>745000</v>
      </c>
      <c r="J318" s="96">
        <v>0</v>
      </c>
      <c r="K318" s="106">
        <v>69</v>
      </c>
      <c r="L318" s="94" t="str" cm="1">
        <f t="array" ref="L318">_xlfn.IFS(J318&lt;2,"Fresher",J318&lt;=3,"Mid Level",J318&gt;3,"Experienced")</f>
        <v>Fresher</v>
      </c>
      <c r="M318" s="90" t="str" cm="1">
        <f t="array" ref="M318">_xlfn.IFS(I318&gt;=600000,"High",I318&gt;=450000,"Medium",I318&lt;450000,"Low")</f>
        <v>High</v>
      </c>
      <c r="N318" s="94">
        <f t="shared" si="17"/>
        <v>0.05</v>
      </c>
      <c r="O318" s="92" t="str">
        <f t="shared" si="18"/>
        <v>Unique</v>
      </c>
      <c r="P318" s="94">
        <f t="shared" si="16"/>
        <v>5</v>
      </c>
    </row>
    <row r="319" spans="1:16">
      <c r="A319" s="115">
        <v>3101317</v>
      </c>
      <c r="B319" s="85" t="s">
        <v>44</v>
      </c>
      <c r="C319" s="96" t="s">
        <v>38</v>
      </c>
      <c r="D319" s="85" t="s">
        <v>32</v>
      </c>
      <c r="E319" s="96" t="s">
        <v>300</v>
      </c>
      <c r="F319" s="96" t="s">
        <v>24</v>
      </c>
      <c r="G319" s="85" t="s">
        <v>15</v>
      </c>
      <c r="H319" s="98">
        <v>46167</v>
      </c>
      <c r="I319" s="85">
        <v>415000</v>
      </c>
      <c r="J319" s="96">
        <v>3</v>
      </c>
      <c r="K319" s="106">
        <v>95</v>
      </c>
      <c r="L319" s="94" t="str" cm="1">
        <f t="array" ref="L319">_xlfn.IFS(J319&lt;2,"Fresher",J319&lt;=3,"Mid Level",J319&gt;3,"Experienced")</f>
        <v>Mid Level</v>
      </c>
      <c r="M319" s="90" t="str" cm="1">
        <f t="array" ref="M319">_xlfn.IFS(I319&gt;=600000,"High",I319&gt;=450000,"Medium",I319&lt;450000,"Low")</f>
        <v>Low</v>
      </c>
      <c r="N319" s="94">
        <f t="shared" si="17"/>
        <v>0.02</v>
      </c>
      <c r="O319" s="92" t="str">
        <f t="shared" si="18"/>
        <v>Unique</v>
      </c>
      <c r="P319" s="94">
        <f t="shared" si="16"/>
        <v>5</v>
      </c>
    </row>
    <row r="320" spans="1:16">
      <c r="A320" s="115">
        <v>3101318</v>
      </c>
      <c r="B320" s="85" t="s">
        <v>271</v>
      </c>
      <c r="C320" s="96" t="s">
        <v>264</v>
      </c>
      <c r="D320" s="85" t="s">
        <v>12</v>
      </c>
      <c r="E320" s="96" t="s">
        <v>23</v>
      </c>
      <c r="F320" s="96" t="s">
        <v>34</v>
      </c>
      <c r="G320" s="85" t="s">
        <v>15</v>
      </c>
      <c r="H320" s="98">
        <v>46175</v>
      </c>
      <c r="I320" s="85">
        <v>625000</v>
      </c>
      <c r="J320" s="96">
        <v>0</v>
      </c>
      <c r="K320" s="106">
        <v>73</v>
      </c>
      <c r="L320" s="94" t="str" cm="1">
        <f t="array" ref="L320">_xlfn.IFS(J320&lt;2,"Fresher",J320&lt;=3,"Mid Level",J320&gt;3,"Experienced")</f>
        <v>Fresher</v>
      </c>
      <c r="M320" s="90" t="str" cm="1">
        <f t="array" ref="M320">_xlfn.IFS(I320&gt;=600000,"High",I320&gt;=450000,"Medium",I320&lt;450000,"Low")</f>
        <v>High</v>
      </c>
      <c r="N320" s="94">
        <f t="shared" si="17"/>
        <v>0.01</v>
      </c>
      <c r="O320" s="92" t="str">
        <f t="shared" si="18"/>
        <v>Unique</v>
      </c>
      <c r="P320" s="94">
        <f t="shared" si="16"/>
        <v>6</v>
      </c>
    </row>
    <row r="321" spans="1:16">
      <c r="A321" s="115">
        <v>3101319</v>
      </c>
      <c r="B321" s="85" t="s">
        <v>174</v>
      </c>
      <c r="C321" s="96" t="s">
        <v>268</v>
      </c>
      <c r="D321" s="85" t="s">
        <v>32</v>
      </c>
      <c r="E321" s="96" t="s">
        <v>33</v>
      </c>
      <c r="F321" s="96" t="s">
        <v>20</v>
      </c>
      <c r="G321" s="85" t="s">
        <v>15</v>
      </c>
      <c r="H321" s="98">
        <v>46248</v>
      </c>
      <c r="I321" s="85">
        <v>375000</v>
      </c>
      <c r="J321" s="96">
        <v>3</v>
      </c>
      <c r="K321" s="106">
        <v>84</v>
      </c>
      <c r="L321" s="94" t="str" cm="1">
        <f t="array" ref="L321">_xlfn.IFS(J321&lt;2,"Fresher",J321&lt;=3,"Mid Level",J321&gt;3,"Experienced")</f>
        <v>Mid Level</v>
      </c>
      <c r="M321" s="90" t="str" cm="1">
        <f t="array" ref="M321">_xlfn.IFS(I321&gt;=600000,"High",I321&gt;=450000,"Medium",I321&lt;450000,"Low")</f>
        <v>Low</v>
      </c>
      <c r="N321" s="94">
        <f t="shared" si="17"/>
        <v>0.05</v>
      </c>
      <c r="O321" s="92" t="str">
        <f t="shared" si="18"/>
        <v>Unique</v>
      </c>
      <c r="P321" s="94">
        <f t="shared" si="16"/>
        <v>8</v>
      </c>
    </row>
    <row r="322" spans="1:16">
      <c r="A322" s="115">
        <v>3101320</v>
      </c>
      <c r="B322" s="85" t="s">
        <v>298</v>
      </c>
      <c r="C322" s="96" t="s">
        <v>17</v>
      </c>
      <c r="D322" s="85" t="s">
        <v>12</v>
      </c>
      <c r="E322" s="96" t="s">
        <v>261</v>
      </c>
      <c r="F322" s="96" t="s">
        <v>20</v>
      </c>
      <c r="G322" s="85" t="s">
        <v>15</v>
      </c>
      <c r="H322" s="98">
        <v>46202</v>
      </c>
      <c r="I322" s="85">
        <v>470000</v>
      </c>
      <c r="J322" s="96">
        <v>0</v>
      </c>
      <c r="K322" s="106">
        <v>79</v>
      </c>
      <c r="L322" s="94" t="str" cm="1">
        <f t="array" ref="L322">_xlfn.IFS(J322&lt;2,"Fresher",J322&lt;=3,"Mid Level",J322&gt;3,"Experienced")</f>
        <v>Fresher</v>
      </c>
      <c r="M322" s="90" t="str" cm="1">
        <f t="array" ref="M322">_xlfn.IFS(I322&gt;=600000,"High",I322&gt;=450000,"Medium",I322&lt;450000,"Low")</f>
        <v>Medium</v>
      </c>
      <c r="N322" s="94">
        <f t="shared" si="17"/>
        <v>0.05</v>
      </c>
      <c r="O322" s="92" t="str">
        <f t="shared" si="18"/>
        <v>Unique</v>
      </c>
      <c r="P322" s="94">
        <f t="shared" si="16"/>
        <v>6</v>
      </c>
    </row>
    <row r="323" spans="1:16">
      <c r="A323" s="115">
        <v>3101321</v>
      </c>
      <c r="B323" s="85" t="s">
        <v>269</v>
      </c>
      <c r="C323" s="96" t="s">
        <v>264</v>
      </c>
      <c r="D323" s="85" t="s">
        <v>12</v>
      </c>
      <c r="E323" s="96" t="s">
        <v>36</v>
      </c>
      <c r="F323" s="96" t="s">
        <v>20</v>
      </c>
      <c r="G323" s="85" t="s">
        <v>21</v>
      </c>
      <c r="H323" s="98">
        <v>46202</v>
      </c>
      <c r="I323" s="85">
        <v>785000</v>
      </c>
      <c r="J323" s="96">
        <v>1</v>
      </c>
      <c r="K323" s="106">
        <v>71</v>
      </c>
      <c r="L323" s="94" t="str" cm="1">
        <f t="array" ref="L323">_xlfn.IFS(J323&lt;2,"Fresher",J323&lt;=3,"Mid Level",J323&gt;3,"Experienced")</f>
        <v>Fresher</v>
      </c>
      <c r="M323" s="90" t="str" cm="1">
        <f t="array" ref="M323">_xlfn.IFS(I323&gt;=600000,"High",I323&gt;=450000,"Medium",I323&lt;450000,"Low")</f>
        <v>High</v>
      </c>
      <c r="N323" s="94">
        <f t="shared" si="17"/>
        <v>0.05</v>
      </c>
      <c r="O323" s="92" t="str">
        <f t="shared" si="18"/>
        <v>Unique</v>
      </c>
      <c r="P323" s="94">
        <f t="shared" ref="P323:P386" si="19">MONTH(H323)</f>
        <v>6</v>
      </c>
    </row>
    <row r="324" spans="1:16">
      <c r="A324" s="115">
        <v>3101322</v>
      </c>
      <c r="B324" s="85" t="s">
        <v>269</v>
      </c>
      <c r="C324" s="96" t="s">
        <v>260</v>
      </c>
      <c r="D324" s="85" t="s">
        <v>12</v>
      </c>
      <c r="E324" s="96" t="s">
        <v>13</v>
      </c>
      <c r="F324" s="96" t="s">
        <v>34</v>
      </c>
      <c r="G324" s="85" t="s">
        <v>15</v>
      </c>
      <c r="H324" s="98">
        <v>46155</v>
      </c>
      <c r="I324" s="85">
        <v>625000</v>
      </c>
      <c r="J324" s="96">
        <v>4</v>
      </c>
      <c r="K324" s="106">
        <v>89</v>
      </c>
      <c r="L324" s="94" t="str" cm="1">
        <f t="array" ref="L324">_xlfn.IFS(J324&lt;2,"Fresher",J324&lt;=3,"Mid Level",J324&gt;3,"Experienced")</f>
        <v>Experienced</v>
      </c>
      <c r="M324" s="90" t="str" cm="1">
        <f t="array" ref="M324">_xlfn.IFS(I324&gt;=600000,"High",I324&gt;=450000,"Medium",I324&lt;450000,"Low")</f>
        <v>High</v>
      </c>
      <c r="N324" s="94">
        <f t="shared" ref="N324:N387" si="20">IF(F324="Naukri",2%,IF(F324="LinkedIn",2%,IF(F324="Employee Referral",5%,1%)))</f>
        <v>0.01</v>
      </c>
      <c r="O324" s="92" t="str">
        <f t="shared" ref="O324:O387" si="21">IF(COUNTIF($A$2:$A$478,A324)&gt;1,"Duplicate","Unique")</f>
        <v>Unique</v>
      </c>
      <c r="P324" s="94">
        <f t="shared" si="19"/>
        <v>5</v>
      </c>
    </row>
    <row r="325" spans="1:16">
      <c r="A325" s="115">
        <v>3101323</v>
      </c>
      <c r="B325" s="85" t="s">
        <v>306</v>
      </c>
      <c r="C325" s="96" t="s">
        <v>260</v>
      </c>
      <c r="D325" s="85" t="s">
        <v>12</v>
      </c>
      <c r="E325" s="96" t="s">
        <v>36</v>
      </c>
      <c r="F325" s="96" t="s">
        <v>24</v>
      </c>
      <c r="G325" s="85" t="s">
        <v>21</v>
      </c>
      <c r="H325" s="98">
        <v>46197</v>
      </c>
      <c r="I325" s="85">
        <v>690000</v>
      </c>
      <c r="J325" s="96">
        <v>0</v>
      </c>
      <c r="K325" s="106">
        <v>67</v>
      </c>
      <c r="L325" s="94" t="str" cm="1">
        <f t="array" ref="L325">_xlfn.IFS(J325&lt;2,"Fresher",J325&lt;=3,"Mid Level",J325&gt;3,"Experienced")</f>
        <v>Fresher</v>
      </c>
      <c r="M325" s="90" t="str" cm="1">
        <f t="array" ref="M325">_xlfn.IFS(I325&gt;=600000,"High",I325&gt;=450000,"Medium",I325&lt;450000,"Low")</f>
        <v>High</v>
      </c>
      <c r="N325" s="94">
        <f t="shared" si="20"/>
        <v>0.02</v>
      </c>
      <c r="O325" s="92" t="str">
        <f t="shared" si="21"/>
        <v>Unique</v>
      </c>
      <c r="P325" s="94">
        <f t="shared" si="19"/>
        <v>6</v>
      </c>
    </row>
    <row r="326" spans="1:16">
      <c r="A326" s="115">
        <v>3101324</v>
      </c>
      <c r="B326" s="85" t="s">
        <v>255</v>
      </c>
      <c r="C326" s="96" t="s">
        <v>38</v>
      </c>
      <c r="D326" s="85" t="s">
        <v>12</v>
      </c>
      <c r="E326" s="96" t="s">
        <v>303</v>
      </c>
      <c r="F326" s="96" t="s">
        <v>14</v>
      </c>
      <c r="G326" s="85" t="s">
        <v>256</v>
      </c>
      <c r="H326" s="98">
        <v>46276</v>
      </c>
      <c r="I326" s="85">
        <v>825000</v>
      </c>
      <c r="J326" s="96">
        <v>1</v>
      </c>
      <c r="K326" s="106">
        <v>86</v>
      </c>
      <c r="L326" s="94" t="str" cm="1">
        <f t="array" ref="L326">_xlfn.IFS(J326&lt;2,"Fresher",J326&lt;=3,"Mid Level",J326&gt;3,"Experienced")</f>
        <v>Fresher</v>
      </c>
      <c r="M326" s="90" t="str" cm="1">
        <f t="array" ref="M326">_xlfn.IFS(I326&gt;=600000,"High",I326&gt;=450000,"Medium",I326&lt;450000,"Low")</f>
        <v>High</v>
      </c>
      <c r="N326" s="94">
        <f t="shared" si="20"/>
        <v>0.02</v>
      </c>
      <c r="O326" s="92" t="str">
        <f t="shared" si="21"/>
        <v>Unique</v>
      </c>
      <c r="P326" s="94">
        <f t="shared" si="19"/>
        <v>9</v>
      </c>
    </row>
    <row r="327" spans="1:16">
      <c r="A327" s="115">
        <v>3101325</v>
      </c>
      <c r="B327" s="85" t="s">
        <v>100</v>
      </c>
      <c r="C327" s="96" t="s">
        <v>260</v>
      </c>
      <c r="D327" s="85" t="s">
        <v>32</v>
      </c>
      <c r="E327" s="96" t="s">
        <v>300</v>
      </c>
      <c r="F327" s="96" t="s">
        <v>34</v>
      </c>
      <c r="G327" s="85" t="s">
        <v>25</v>
      </c>
      <c r="H327" s="98">
        <v>46217</v>
      </c>
      <c r="I327" s="85">
        <v>290000</v>
      </c>
      <c r="J327" s="96">
        <v>2</v>
      </c>
      <c r="K327" s="106">
        <v>92</v>
      </c>
      <c r="L327" s="94" t="str" cm="1">
        <f t="array" ref="L327">_xlfn.IFS(J327&lt;2,"Fresher",J327&lt;=3,"Mid Level",J327&gt;3,"Experienced")</f>
        <v>Mid Level</v>
      </c>
      <c r="M327" s="90" t="str" cm="1">
        <f t="array" ref="M327">_xlfn.IFS(I327&gt;=600000,"High",I327&gt;=450000,"Medium",I327&lt;450000,"Low")</f>
        <v>Low</v>
      </c>
      <c r="N327" s="94">
        <f t="shared" si="20"/>
        <v>0.01</v>
      </c>
      <c r="O327" s="92" t="str">
        <f t="shared" si="21"/>
        <v>Unique</v>
      </c>
      <c r="P327" s="94">
        <f t="shared" si="19"/>
        <v>7</v>
      </c>
    </row>
    <row r="328" spans="1:16">
      <c r="A328" s="115">
        <v>3101326</v>
      </c>
      <c r="B328" s="85" t="s">
        <v>49</v>
      </c>
      <c r="C328" s="96" t="s">
        <v>258</v>
      </c>
      <c r="D328" s="85" t="s">
        <v>28</v>
      </c>
      <c r="E328" s="96" t="s">
        <v>29</v>
      </c>
      <c r="F328" s="96" t="s">
        <v>24</v>
      </c>
      <c r="G328" s="85" t="s">
        <v>256</v>
      </c>
      <c r="H328" s="98">
        <v>46265</v>
      </c>
      <c r="I328" s="85">
        <v>340000</v>
      </c>
      <c r="J328" s="96">
        <v>0</v>
      </c>
      <c r="K328" s="106">
        <v>69</v>
      </c>
      <c r="L328" s="94" t="str" cm="1">
        <f t="array" ref="L328">_xlfn.IFS(J328&lt;2,"Fresher",J328&lt;=3,"Mid Level",J328&gt;3,"Experienced")</f>
        <v>Fresher</v>
      </c>
      <c r="M328" s="90" t="str" cm="1">
        <f t="array" ref="M328">_xlfn.IFS(I328&gt;=600000,"High",I328&gt;=450000,"Medium",I328&lt;450000,"Low")</f>
        <v>Low</v>
      </c>
      <c r="N328" s="94">
        <f t="shared" si="20"/>
        <v>0.02</v>
      </c>
      <c r="O328" s="92" t="str">
        <f t="shared" si="21"/>
        <v>Unique</v>
      </c>
      <c r="P328" s="94">
        <f t="shared" si="19"/>
        <v>8</v>
      </c>
    </row>
    <row r="329" spans="1:16">
      <c r="A329" s="115">
        <v>3101327</v>
      </c>
      <c r="B329" s="85" t="s">
        <v>257</v>
      </c>
      <c r="C329" s="96" t="s">
        <v>27</v>
      </c>
      <c r="D329" s="85" t="s">
        <v>12</v>
      </c>
      <c r="E329" s="96" t="s">
        <v>13</v>
      </c>
      <c r="F329" s="96" t="s">
        <v>34</v>
      </c>
      <c r="G329" s="85" t="s">
        <v>25</v>
      </c>
      <c r="H329" s="98">
        <v>46246</v>
      </c>
      <c r="I329" s="85">
        <v>400000</v>
      </c>
      <c r="J329" s="96">
        <v>2</v>
      </c>
      <c r="K329" s="106">
        <v>81</v>
      </c>
      <c r="L329" s="94" t="str" cm="1">
        <f t="array" ref="L329">_xlfn.IFS(J329&lt;2,"Fresher",J329&lt;=3,"Mid Level",J329&gt;3,"Experienced")</f>
        <v>Mid Level</v>
      </c>
      <c r="M329" s="90" t="str" cm="1">
        <f t="array" ref="M329">_xlfn.IFS(I329&gt;=600000,"High",I329&gt;=450000,"Medium",I329&lt;450000,"Low")</f>
        <v>Low</v>
      </c>
      <c r="N329" s="94">
        <f t="shared" si="20"/>
        <v>0.01</v>
      </c>
      <c r="O329" s="92" t="str">
        <f t="shared" si="21"/>
        <v>Unique</v>
      </c>
      <c r="P329" s="94">
        <f t="shared" si="19"/>
        <v>8</v>
      </c>
    </row>
    <row r="330" spans="1:16">
      <c r="A330" s="115">
        <v>3101328</v>
      </c>
      <c r="B330" s="85" t="s">
        <v>305</v>
      </c>
      <c r="C330" s="96" t="s">
        <v>258</v>
      </c>
      <c r="D330" s="85" t="s">
        <v>12</v>
      </c>
      <c r="E330" s="96" t="s">
        <v>36</v>
      </c>
      <c r="F330" s="96" t="s">
        <v>20</v>
      </c>
      <c r="G330" s="85" t="s">
        <v>256</v>
      </c>
      <c r="H330" s="98">
        <v>46231</v>
      </c>
      <c r="I330" s="85">
        <v>650000</v>
      </c>
      <c r="J330" s="96">
        <v>4</v>
      </c>
      <c r="K330" s="106">
        <v>94</v>
      </c>
      <c r="L330" s="94" t="str" cm="1">
        <f t="array" ref="L330">_xlfn.IFS(J330&lt;2,"Fresher",J330&lt;=3,"Mid Level",J330&gt;3,"Experienced")</f>
        <v>Experienced</v>
      </c>
      <c r="M330" s="90" t="str" cm="1">
        <f t="array" ref="M330">_xlfn.IFS(I330&gt;=600000,"High",I330&gt;=450000,"Medium",I330&lt;450000,"Low")</f>
        <v>High</v>
      </c>
      <c r="N330" s="94">
        <f t="shared" si="20"/>
        <v>0.05</v>
      </c>
      <c r="O330" s="92" t="str">
        <f t="shared" si="21"/>
        <v>Unique</v>
      </c>
      <c r="P330" s="94">
        <f t="shared" si="19"/>
        <v>7</v>
      </c>
    </row>
    <row r="331" spans="1:16">
      <c r="A331" s="115">
        <v>3101329</v>
      </c>
      <c r="B331" s="85" t="s">
        <v>288</v>
      </c>
      <c r="C331" s="96" t="s">
        <v>11</v>
      </c>
      <c r="D331" s="85" t="s">
        <v>12</v>
      </c>
      <c r="E331" s="96" t="s">
        <v>36</v>
      </c>
      <c r="F331" s="96" t="s">
        <v>20</v>
      </c>
      <c r="G331" s="85" t="s">
        <v>25</v>
      </c>
      <c r="H331" s="98">
        <v>46157</v>
      </c>
      <c r="I331" s="85">
        <v>730000</v>
      </c>
      <c r="J331" s="96">
        <v>5</v>
      </c>
      <c r="K331" s="106">
        <v>77</v>
      </c>
      <c r="L331" s="94" t="str" cm="1">
        <f t="array" ref="L331">_xlfn.IFS(J331&lt;2,"Fresher",J331&lt;=3,"Mid Level",J331&gt;3,"Experienced")</f>
        <v>Experienced</v>
      </c>
      <c r="M331" s="90" t="str" cm="1">
        <f t="array" ref="M331">_xlfn.IFS(I331&gt;=600000,"High",I331&gt;=450000,"Medium",I331&lt;450000,"Low")</f>
        <v>High</v>
      </c>
      <c r="N331" s="94">
        <f t="shared" si="20"/>
        <v>0.05</v>
      </c>
      <c r="O331" s="92" t="str">
        <f t="shared" si="21"/>
        <v>Unique</v>
      </c>
      <c r="P331" s="94">
        <f t="shared" si="19"/>
        <v>5</v>
      </c>
    </row>
    <row r="332" spans="1:16">
      <c r="A332" s="115">
        <v>3101330</v>
      </c>
      <c r="B332" s="85" t="s">
        <v>292</v>
      </c>
      <c r="C332" s="96" t="s">
        <v>258</v>
      </c>
      <c r="D332" s="85" t="s">
        <v>12</v>
      </c>
      <c r="E332" s="96" t="s">
        <v>303</v>
      </c>
      <c r="F332" s="96" t="s">
        <v>34</v>
      </c>
      <c r="G332" s="85" t="s">
        <v>21</v>
      </c>
      <c r="H332" s="98">
        <v>46227</v>
      </c>
      <c r="I332" s="85">
        <v>555000</v>
      </c>
      <c r="J332" s="96">
        <v>2</v>
      </c>
      <c r="K332" s="106">
        <v>72</v>
      </c>
      <c r="L332" s="94" t="str" cm="1">
        <f t="array" ref="L332">_xlfn.IFS(J332&lt;2,"Fresher",J332&lt;=3,"Mid Level",J332&gt;3,"Experienced")</f>
        <v>Mid Level</v>
      </c>
      <c r="M332" s="90" t="str" cm="1">
        <f t="array" ref="M332">_xlfn.IFS(I332&gt;=600000,"High",I332&gt;=450000,"Medium",I332&lt;450000,"Low")</f>
        <v>Medium</v>
      </c>
      <c r="N332" s="94">
        <f t="shared" si="20"/>
        <v>0.01</v>
      </c>
      <c r="O332" s="92" t="str">
        <f t="shared" si="21"/>
        <v>Unique</v>
      </c>
      <c r="P332" s="94">
        <f t="shared" si="19"/>
        <v>7</v>
      </c>
    </row>
    <row r="333" spans="1:16">
      <c r="A333" s="115">
        <v>3101331</v>
      </c>
      <c r="B333" s="85" t="s">
        <v>47</v>
      </c>
      <c r="C333" s="96" t="s">
        <v>11</v>
      </c>
      <c r="D333" s="85" t="s">
        <v>12</v>
      </c>
      <c r="E333" s="96" t="s">
        <v>13</v>
      </c>
      <c r="F333" s="96" t="s">
        <v>14</v>
      </c>
      <c r="G333" s="85" t="s">
        <v>21</v>
      </c>
      <c r="H333" s="98">
        <v>46224</v>
      </c>
      <c r="I333" s="85">
        <v>480000</v>
      </c>
      <c r="J333" s="96">
        <v>3</v>
      </c>
      <c r="K333" s="106">
        <v>90</v>
      </c>
      <c r="L333" s="94" t="str" cm="1">
        <f t="array" ref="L333">_xlfn.IFS(J333&lt;2,"Fresher",J333&lt;=3,"Mid Level",J333&gt;3,"Experienced")</f>
        <v>Mid Level</v>
      </c>
      <c r="M333" s="90" t="str" cm="1">
        <f t="array" ref="M333">_xlfn.IFS(I333&gt;=600000,"High",I333&gt;=450000,"Medium",I333&lt;450000,"Low")</f>
        <v>Medium</v>
      </c>
      <c r="N333" s="94">
        <f t="shared" si="20"/>
        <v>0.02</v>
      </c>
      <c r="O333" s="92" t="str">
        <f t="shared" si="21"/>
        <v>Unique</v>
      </c>
      <c r="P333" s="94">
        <f t="shared" si="19"/>
        <v>7</v>
      </c>
    </row>
    <row r="334" spans="1:16">
      <c r="A334" s="115">
        <v>3101332</v>
      </c>
      <c r="B334" s="85" t="s">
        <v>257</v>
      </c>
      <c r="C334" s="96" t="s">
        <v>264</v>
      </c>
      <c r="D334" s="85" t="s">
        <v>28</v>
      </c>
      <c r="E334" s="96" t="s">
        <v>297</v>
      </c>
      <c r="F334" s="96" t="s">
        <v>24</v>
      </c>
      <c r="G334" s="85" t="s">
        <v>25</v>
      </c>
      <c r="H334" s="98">
        <v>46197</v>
      </c>
      <c r="I334" s="85">
        <v>545000</v>
      </c>
      <c r="J334" s="96">
        <v>2</v>
      </c>
      <c r="K334" s="106">
        <v>74</v>
      </c>
      <c r="L334" s="94" t="str" cm="1">
        <f t="array" ref="L334">_xlfn.IFS(J334&lt;2,"Fresher",J334&lt;=3,"Mid Level",J334&gt;3,"Experienced")</f>
        <v>Mid Level</v>
      </c>
      <c r="M334" s="90" t="str" cm="1">
        <f t="array" ref="M334">_xlfn.IFS(I334&gt;=600000,"High",I334&gt;=450000,"Medium",I334&lt;450000,"Low")</f>
        <v>Medium</v>
      </c>
      <c r="N334" s="94">
        <f t="shared" si="20"/>
        <v>0.02</v>
      </c>
      <c r="O334" s="92" t="str">
        <f t="shared" si="21"/>
        <v>Unique</v>
      </c>
      <c r="P334" s="94">
        <f t="shared" si="19"/>
        <v>6</v>
      </c>
    </row>
    <row r="335" spans="1:16">
      <c r="A335" s="115">
        <v>3101333</v>
      </c>
      <c r="B335" s="85" t="s">
        <v>272</v>
      </c>
      <c r="C335" s="96" t="s">
        <v>11</v>
      </c>
      <c r="D335" s="85" t="s">
        <v>12</v>
      </c>
      <c r="E335" s="96" t="s">
        <v>36</v>
      </c>
      <c r="F335" s="96" t="s">
        <v>24</v>
      </c>
      <c r="G335" s="85" t="s">
        <v>21</v>
      </c>
      <c r="H335" s="98">
        <v>46232</v>
      </c>
      <c r="I335" s="85">
        <v>890000</v>
      </c>
      <c r="J335" s="96">
        <v>2</v>
      </c>
      <c r="K335" s="106">
        <v>85</v>
      </c>
      <c r="L335" s="94" t="str" cm="1">
        <f t="array" ref="L335">_xlfn.IFS(J335&lt;2,"Fresher",J335&lt;=3,"Mid Level",J335&gt;3,"Experienced")</f>
        <v>Mid Level</v>
      </c>
      <c r="M335" s="90" t="str" cm="1">
        <f t="array" ref="M335">_xlfn.IFS(I335&gt;=600000,"High",I335&gt;=450000,"Medium",I335&lt;450000,"Low")</f>
        <v>High</v>
      </c>
      <c r="N335" s="94">
        <f t="shared" si="20"/>
        <v>0.02</v>
      </c>
      <c r="O335" s="92" t="str">
        <f t="shared" si="21"/>
        <v>Unique</v>
      </c>
      <c r="P335" s="94">
        <f t="shared" si="19"/>
        <v>7</v>
      </c>
    </row>
    <row r="336" spans="1:16">
      <c r="A336" s="115">
        <v>3101334</v>
      </c>
      <c r="B336" s="85" t="s">
        <v>274</v>
      </c>
      <c r="C336" s="96" t="s">
        <v>27</v>
      </c>
      <c r="D336" s="85" t="s">
        <v>12</v>
      </c>
      <c r="E336" s="96" t="s">
        <v>265</v>
      </c>
      <c r="F336" s="96" t="s">
        <v>24</v>
      </c>
      <c r="G336" s="85" t="s">
        <v>21</v>
      </c>
      <c r="H336" s="98">
        <v>46213</v>
      </c>
      <c r="I336" s="85">
        <v>400000</v>
      </c>
      <c r="J336" s="96">
        <v>1</v>
      </c>
      <c r="K336" s="106">
        <v>94</v>
      </c>
      <c r="L336" s="94" t="str" cm="1">
        <f t="array" ref="L336">_xlfn.IFS(J336&lt;2,"Fresher",J336&lt;=3,"Mid Level",J336&gt;3,"Experienced")</f>
        <v>Fresher</v>
      </c>
      <c r="M336" s="90" t="str" cm="1">
        <f t="array" ref="M336">_xlfn.IFS(I336&gt;=600000,"High",I336&gt;=450000,"Medium",I336&lt;450000,"Low")</f>
        <v>Low</v>
      </c>
      <c r="N336" s="94">
        <f t="shared" si="20"/>
        <v>0.02</v>
      </c>
      <c r="O336" s="92" t="str">
        <f t="shared" si="21"/>
        <v>Unique</v>
      </c>
      <c r="P336" s="94">
        <f t="shared" si="19"/>
        <v>7</v>
      </c>
    </row>
    <row r="337" spans="1:16">
      <c r="A337" s="115">
        <v>3101335</v>
      </c>
      <c r="B337" s="85" t="s">
        <v>282</v>
      </c>
      <c r="C337" s="96" t="s">
        <v>11</v>
      </c>
      <c r="D337" s="85" t="s">
        <v>32</v>
      </c>
      <c r="E337" s="96" t="s">
        <v>300</v>
      </c>
      <c r="F337" s="96" t="s">
        <v>20</v>
      </c>
      <c r="G337" s="85" t="s">
        <v>15</v>
      </c>
      <c r="H337" s="98">
        <v>46177</v>
      </c>
      <c r="I337" s="85">
        <v>405000</v>
      </c>
      <c r="J337" s="96">
        <v>1</v>
      </c>
      <c r="K337" s="106">
        <v>68</v>
      </c>
      <c r="L337" s="94" t="str" cm="1">
        <f t="array" ref="L337">_xlfn.IFS(J337&lt;2,"Fresher",J337&lt;=3,"Mid Level",J337&gt;3,"Experienced")</f>
        <v>Fresher</v>
      </c>
      <c r="M337" s="90" t="str" cm="1">
        <f t="array" ref="M337">_xlfn.IFS(I337&gt;=600000,"High",I337&gt;=450000,"Medium",I337&lt;450000,"Low")</f>
        <v>Low</v>
      </c>
      <c r="N337" s="94">
        <f t="shared" si="20"/>
        <v>0.05</v>
      </c>
      <c r="O337" s="92" t="str">
        <f t="shared" si="21"/>
        <v>Unique</v>
      </c>
      <c r="P337" s="94">
        <f t="shared" si="19"/>
        <v>6</v>
      </c>
    </row>
    <row r="338" spans="1:16">
      <c r="A338" s="115">
        <v>3101336</v>
      </c>
      <c r="B338" s="85" t="s">
        <v>302</v>
      </c>
      <c r="C338" s="96" t="s">
        <v>264</v>
      </c>
      <c r="D338" s="85" t="s">
        <v>12</v>
      </c>
      <c r="E338" s="96" t="s">
        <v>303</v>
      </c>
      <c r="F338" s="96" t="s">
        <v>24</v>
      </c>
      <c r="G338" s="85" t="s">
        <v>256</v>
      </c>
      <c r="H338" s="98">
        <v>46224</v>
      </c>
      <c r="I338" s="85">
        <v>650000</v>
      </c>
      <c r="J338" s="96">
        <v>4</v>
      </c>
      <c r="K338" s="106">
        <v>87</v>
      </c>
      <c r="L338" s="94" t="str" cm="1">
        <f t="array" ref="L338">_xlfn.IFS(J338&lt;2,"Fresher",J338&lt;=3,"Mid Level",J338&gt;3,"Experienced")</f>
        <v>Experienced</v>
      </c>
      <c r="M338" s="90" t="str" cm="1">
        <f t="array" ref="M338">_xlfn.IFS(I338&gt;=600000,"High",I338&gt;=450000,"Medium",I338&lt;450000,"Low")</f>
        <v>High</v>
      </c>
      <c r="N338" s="94">
        <f t="shared" si="20"/>
        <v>0.02</v>
      </c>
      <c r="O338" s="92" t="str">
        <f t="shared" si="21"/>
        <v>Unique</v>
      </c>
      <c r="P338" s="94">
        <f t="shared" si="19"/>
        <v>7</v>
      </c>
    </row>
    <row r="339" spans="1:16">
      <c r="A339" s="115">
        <v>3101337</v>
      </c>
      <c r="B339" s="85" t="s">
        <v>287</v>
      </c>
      <c r="C339" s="96" t="s">
        <v>260</v>
      </c>
      <c r="D339" s="85" t="s">
        <v>28</v>
      </c>
      <c r="E339" s="96" t="s">
        <v>297</v>
      </c>
      <c r="F339" s="96" t="s">
        <v>34</v>
      </c>
      <c r="G339" s="85" t="s">
        <v>21</v>
      </c>
      <c r="H339" s="98">
        <v>46234</v>
      </c>
      <c r="I339" s="85">
        <v>570000</v>
      </c>
      <c r="J339" s="96">
        <v>0</v>
      </c>
      <c r="K339" s="106">
        <v>82</v>
      </c>
      <c r="L339" s="94" t="str" cm="1">
        <f t="array" ref="L339">_xlfn.IFS(J339&lt;2,"Fresher",J339&lt;=3,"Mid Level",J339&gt;3,"Experienced")</f>
        <v>Fresher</v>
      </c>
      <c r="M339" s="90" t="str" cm="1">
        <f t="array" ref="M339">_xlfn.IFS(I339&gt;=600000,"High",I339&gt;=450000,"Medium",I339&lt;450000,"Low")</f>
        <v>Medium</v>
      </c>
      <c r="N339" s="94">
        <f t="shared" si="20"/>
        <v>0.01</v>
      </c>
      <c r="O339" s="92" t="str">
        <f t="shared" si="21"/>
        <v>Unique</v>
      </c>
      <c r="P339" s="94">
        <f t="shared" si="19"/>
        <v>7</v>
      </c>
    </row>
    <row r="340" spans="1:16">
      <c r="A340" s="115">
        <v>3101338</v>
      </c>
      <c r="B340" s="85" t="s">
        <v>252</v>
      </c>
      <c r="C340" s="96" t="s">
        <v>264</v>
      </c>
      <c r="D340" s="85" t="s">
        <v>18</v>
      </c>
      <c r="E340" s="96" t="s">
        <v>39</v>
      </c>
      <c r="F340" s="96" t="s">
        <v>24</v>
      </c>
      <c r="G340" s="85" t="s">
        <v>25</v>
      </c>
      <c r="H340" s="98">
        <v>46187</v>
      </c>
      <c r="I340" s="85">
        <v>490000</v>
      </c>
      <c r="J340" s="96">
        <v>4</v>
      </c>
      <c r="K340" s="106">
        <v>76</v>
      </c>
      <c r="L340" s="94" t="str" cm="1">
        <f t="array" ref="L340">_xlfn.IFS(J340&lt;2,"Fresher",J340&lt;=3,"Mid Level",J340&gt;3,"Experienced")</f>
        <v>Experienced</v>
      </c>
      <c r="M340" s="90" t="str" cm="1">
        <f t="array" ref="M340">_xlfn.IFS(I340&gt;=600000,"High",I340&gt;=450000,"Medium",I340&lt;450000,"Low")</f>
        <v>Medium</v>
      </c>
      <c r="N340" s="94">
        <f t="shared" si="20"/>
        <v>0.02</v>
      </c>
      <c r="O340" s="92" t="str">
        <f t="shared" si="21"/>
        <v>Unique</v>
      </c>
      <c r="P340" s="94">
        <f t="shared" si="19"/>
        <v>6</v>
      </c>
    </row>
    <row r="341" spans="1:16">
      <c r="A341" s="115">
        <v>3101339</v>
      </c>
      <c r="B341" s="85" t="s">
        <v>281</v>
      </c>
      <c r="C341" s="96" t="s">
        <v>268</v>
      </c>
      <c r="D341" s="85" t="s">
        <v>12</v>
      </c>
      <c r="E341" s="96" t="s">
        <v>13</v>
      </c>
      <c r="F341" s="96" t="s">
        <v>24</v>
      </c>
      <c r="G341" s="85" t="s">
        <v>25</v>
      </c>
      <c r="H341" s="98">
        <v>46168</v>
      </c>
      <c r="I341" s="85">
        <v>440000</v>
      </c>
      <c r="J341" s="96">
        <v>5</v>
      </c>
      <c r="K341" s="106">
        <v>88</v>
      </c>
      <c r="L341" s="94" t="str" cm="1">
        <f t="array" ref="L341">_xlfn.IFS(J341&lt;2,"Fresher",J341&lt;=3,"Mid Level",J341&gt;3,"Experienced")</f>
        <v>Experienced</v>
      </c>
      <c r="M341" s="90" t="str" cm="1">
        <f t="array" ref="M341">_xlfn.IFS(I341&gt;=600000,"High",I341&gt;=450000,"Medium",I341&lt;450000,"Low")</f>
        <v>Low</v>
      </c>
      <c r="N341" s="94">
        <f t="shared" si="20"/>
        <v>0.02</v>
      </c>
      <c r="O341" s="92" t="str">
        <f t="shared" si="21"/>
        <v>Unique</v>
      </c>
      <c r="P341" s="94">
        <f t="shared" si="19"/>
        <v>5</v>
      </c>
    </row>
    <row r="342" spans="1:16">
      <c r="A342" s="115">
        <v>3101340</v>
      </c>
      <c r="B342" s="85" t="s">
        <v>302</v>
      </c>
      <c r="C342" s="96" t="s">
        <v>38</v>
      </c>
      <c r="D342" s="85" t="s">
        <v>12</v>
      </c>
      <c r="E342" s="96" t="s">
        <v>13</v>
      </c>
      <c r="F342" s="96" t="s">
        <v>24</v>
      </c>
      <c r="G342" s="85" t="s">
        <v>21</v>
      </c>
      <c r="H342" s="98">
        <v>46181</v>
      </c>
      <c r="I342" s="85">
        <v>540000</v>
      </c>
      <c r="J342" s="96">
        <v>3</v>
      </c>
      <c r="K342" s="106">
        <v>91</v>
      </c>
      <c r="L342" s="94" t="str" cm="1">
        <f t="array" ref="L342">_xlfn.IFS(J342&lt;2,"Fresher",J342&lt;=3,"Mid Level",J342&gt;3,"Experienced")</f>
        <v>Mid Level</v>
      </c>
      <c r="M342" s="90" t="str" cm="1">
        <f t="array" ref="M342">_xlfn.IFS(I342&gt;=600000,"High",I342&gt;=450000,"Medium",I342&lt;450000,"Low")</f>
        <v>Medium</v>
      </c>
      <c r="N342" s="94">
        <f t="shared" si="20"/>
        <v>0.02</v>
      </c>
      <c r="O342" s="92" t="str">
        <f t="shared" si="21"/>
        <v>Unique</v>
      </c>
      <c r="P342" s="94">
        <f t="shared" si="19"/>
        <v>6</v>
      </c>
    </row>
    <row r="343" spans="1:16">
      <c r="A343" s="115">
        <v>3101341</v>
      </c>
      <c r="B343" s="85" t="s">
        <v>280</v>
      </c>
      <c r="C343" s="96" t="s">
        <v>264</v>
      </c>
      <c r="D343" s="85" t="s">
        <v>28</v>
      </c>
      <c r="E343" s="96" t="s">
        <v>297</v>
      </c>
      <c r="F343" s="96" t="s">
        <v>20</v>
      </c>
      <c r="G343" s="85" t="s">
        <v>15</v>
      </c>
      <c r="H343" s="98">
        <v>46174</v>
      </c>
      <c r="I343" s="85">
        <v>635000</v>
      </c>
      <c r="J343" s="96">
        <v>5</v>
      </c>
      <c r="K343" s="106">
        <v>69</v>
      </c>
      <c r="L343" s="94" t="str" cm="1">
        <f t="array" ref="L343">_xlfn.IFS(J343&lt;2,"Fresher",J343&lt;=3,"Mid Level",J343&gt;3,"Experienced")</f>
        <v>Experienced</v>
      </c>
      <c r="M343" s="90" t="str" cm="1">
        <f t="array" ref="M343">_xlfn.IFS(I343&gt;=600000,"High",I343&gt;=450000,"Medium",I343&lt;450000,"Low")</f>
        <v>High</v>
      </c>
      <c r="N343" s="94">
        <f t="shared" si="20"/>
        <v>0.05</v>
      </c>
      <c r="O343" s="92" t="str">
        <f t="shared" si="21"/>
        <v>Unique</v>
      </c>
      <c r="P343" s="94">
        <f t="shared" si="19"/>
        <v>6</v>
      </c>
    </row>
    <row r="344" spans="1:16">
      <c r="A344" s="115">
        <v>3101342</v>
      </c>
      <c r="B344" s="85" t="s">
        <v>255</v>
      </c>
      <c r="C344" s="96" t="s">
        <v>268</v>
      </c>
      <c r="D344" s="85" t="s">
        <v>28</v>
      </c>
      <c r="E344" s="96" t="s">
        <v>29</v>
      </c>
      <c r="F344" s="96" t="s">
        <v>14</v>
      </c>
      <c r="G344" s="85" t="s">
        <v>15</v>
      </c>
      <c r="H344" s="98">
        <v>46206</v>
      </c>
      <c r="I344" s="85">
        <v>475000</v>
      </c>
      <c r="J344" s="96">
        <v>4</v>
      </c>
      <c r="K344" s="106">
        <v>95</v>
      </c>
      <c r="L344" s="94" t="str" cm="1">
        <f t="array" ref="L344">_xlfn.IFS(J344&lt;2,"Fresher",J344&lt;=3,"Mid Level",J344&gt;3,"Experienced")</f>
        <v>Experienced</v>
      </c>
      <c r="M344" s="90" t="str" cm="1">
        <f t="array" ref="M344">_xlfn.IFS(I344&gt;=600000,"High",I344&gt;=450000,"Medium",I344&lt;450000,"Low")</f>
        <v>Medium</v>
      </c>
      <c r="N344" s="94">
        <f t="shared" si="20"/>
        <v>0.02</v>
      </c>
      <c r="O344" s="92" t="str">
        <f t="shared" si="21"/>
        <v>Unique</v>
      </c>
      <c r="P344" s="94">
        <f t="shared" si="19"/>
        <v>7</v>
      </c>
    </row>
    <row r="345" spans="1:16">
      <c r="A345" s="115">
        <v>3101343</v>
      </c>
      <c r="B345" s="85" t="s">
        <v>276</v>
      </c>
      <c r="C345" s="96" t="s">
        <v>264</v>
      </c>
      <c r="D345" s="85" t="s">
        <v>28</v>
      </c>
      <c r="E345" s="96" t="s">
        <v>297</v>
      </c>
      <c r="F345" s="96" t="s">
        <v>34</v>
      </c>
      <c r="G345" s="85" t="s">
        <v>25</v>
      </c>
      <c r="H345" s="98">
        <v>46261</v>
      </c>
      <c r="I345" s="85">
        <v>610000</v>
      </c>
      <c r="J345" s="96">
        <v>0</v>
      </c>
      <c r="K345" s="106">
        <v>73</v>
      </c>
      <c r="L345" s="94" t="str" cm="1">
        <f t="array" ref="L345">_xlfn.IFS(J345&lt;2,"Fresher",J345&lt;=3,"Mid Level",J345&gt;3,"Experienced")</f>
        <v>Fresher</v>
      </c>
      <c r="M345" s="90" t="str" cm="1">
        <f t="array" ref="M345">_xlfn.IFS(I345&gt;=600000,"High",I345&gt;=450000,"Medium",I345&lt;450000,"Low")</f>
        <v>High</v>
      </c>
      <c r="N345" s="94">
        <f t="shared" si="20"/>
        <v>0.01</v>
      </c>
      <c r="O345" s="92" t="str">
        <f t="shared" si="21"/>
        <v>Unique</v>
      </c>
      <c r="P345" s="94">
        <f t="shared" si="19"/>
        <v>8</v>
      </c>
    </row>
    <row r="346" spans="1:16">
      <c r="A346" s="115">
        <v>3101344</v>
      </c>
      <c r="B346" s="85" t="s">
        <v>304</v>
      </c>
      <c r="C346" s="96" t="s">
        <v>38</v>
      </c>
      <c r="D346" s="85" t="s">
        <v>12</v>
      </c>
      <c r="E346" s="96" t="s">
        <v>13</v>
      </c>
      <c r="F346" s="96" t="s">
        <v>14</v>
      </c>
      <c r="G346" s="85" t="s">
        <v>25</v>
      </c>
      <c r="H346" s="98">
        <v>46282</v>
      </c>
      <c r="I346" s="85">
        <v>430000</v>
      </c>
      <c r="J346" s="96">
        <v>3</v>
      </c>
      <c r="K346" s="106">
        <v>84</v>
      </c>
      <c r="L346" s="94" t="str" cm="1">
        <f t="array" ref="L346">_xlfn.IFS(J346&lt;2,"Fresher",J346&lt;=3,"Mid Level",J346&gt;3,"Experienced")</f>
        <v>Mid Level</v>
      </c>
      <c r="M346" s="90" t="str" cm="1">
        <f t="array" ref="M346">_xlfn.IFS(I346&gt;=600000,"High",I346&gt;=450000,"Medium",I346&lt;450000,"Low")</f>
        <v>Low</v>
      </c>
      <c r="N346" s="94">
        <f t="shared" si="20"/>
        <v>0.02</v>
      </c>
      <c r="O346" s="92" t="str">
        <f t="shared" si="21"/>
        <v>Unique</v>
      </c>
      <c r="P346" s="94">
        <f t="shared" si="19"/>
        <v>9</v>
      </c>
    </row>
    <row r="347" spans="1:16">
      <c r="A347" s="115">
        <v>3101345</v>
      </c>
      <c r="B347" s="85" t="s">
        <v>296</v>
      </c>
      <c r="C347" s="96" t="s">
        <v>268</v>
      </c>
      <c r="D347" s="85" t="s">
        <v>12</v>
      </c>
      <c r="E347" s="96" t="s">
        <v>265</v>
      </c>
      <c r="F347" s="96" t="s">
        <v>24</v>
      </c>
      <c r="G347" s="85" t="s">
        <v>21</v>
      </c>
      <c r="H347" s="98">
        <v>46216</v>
      </c>
      <c r="I347" s="85">
        <v>500000</v>
      </c>
      <c r="J347" s="96">
        <v>2</v>
      </c>
      <c r="K347" s="106">
        <v>79</v>
      </c>
      <c r="L347" s="94" t="str" cm="1">
        <f t="array" ref="L347">_xlfn.IFS(J347&lt;2,"Fresher",J347&lt;=3,"Mid Level",J347&gt;3,"Experienced")</f>
        <v>Mid Level</v>
      </c>
      <c r="M347" s="90" t="str" cm="1">
        <f t="array" ref="M347">_xlfn.IFS(I347&gt;=600000,"High",I347&gt;=450000,"Medium",I347&lt;450000,"Low")</f>
        <v>Medium</v>
      </c>
      <c r="N347" s="94">
        <f t="shared" si="20"/>
        <v>0.02</v>
      </c>
      <c r="O347" s="92" t="str">
        <f t="shared" si="21"/>
        <v>Unique</v>
      </c>
      <c r="P347" s="94">
        <f t="shared" si="19"/>
        <v>7</v>
      </c>
    </row>
    <row r="348" spans="1:16">
      <c r="A348" s="115">
        <v>3101346</v>
      </c>
      <c r="B348" s="85" t="s">
        <v>312</v>
      </c>
      <c r="C348" s="96" t="s">
        <v>260</v>
      </c>
      <c r="D348" s="85" t="s">
        <v>12</v>
      </c>
      <c r="E348" s="96" t="s">
        <v>265</v>
      </c>
      <c r="F348" s="96" t="s">
        <v>20</v>
      </c>
      <c r="G348" s="85" t="s">
        <v>25</v>
      </c>
      <c r="H348" s="98">
        <v>46147</v>
      </c>
      <c r="I348" s="85">
        <v>530000</v>
      </c>
      <c r="J348" s="96">
        <v>2</v>
      </c>
      <c r="K348" s="106">
        <v>71</v>
      </c>
      <c r="L348" s="94" t="str" cm="1">
        <f t="array" ref="L348">_xlfn.IFS(J348&lt;2,"Fresher",J348&lt;=3,"Mid Level",J348&gt;3,"Experienced")</f>
        <v>Mid Level</v>
      </c>
      <c r="M348" s="90" t="str" cm="1">
        <f t="array" ref="M348">_xlfn.IFS(I348&gt;=600000,"High",I348&gt;=450000,"Medium",I348&lt;450000,"Low")</f>
        <v>Medium</v>
      </c>
      <c r="N348" s="94">
        <f t="shared" si="20"/>
        <v>0.05</v>
      </c>
      <c r="O348" s="92" t="str">
        <f t="shared" si="21"/>
        <v>Unique</v>
      </c>
      <c r="P348" s="94">
        <f t="shared" si="19"/>
        <v>5</v>
      </c>
    </row>
    <row r="349" spans="1:16">
      <c r="A349" s="115">
        <v>3101347</v>
      </c>
      <c r="B349" s="85" t="s">
        <v>286</v>
      </c>
      <c r="C349" s="96" t="s">
        <v>11</v>
      </c>
      <c r="D349" s="85" t="s">
        <v>12</v>
      </c>
      <c r="E349" s="96" t="s">
        <v>261</v>
      </c>
      <c r="F349" s="96" t="s">
        <v>14</v>
      </c>
      <c r="G349" s="85" t="s">
        <v>21</v>
      </c>
      <c r="H349" s="98">
        <v>46248</v>
      </c>
      <c r="I349" s="85">
        <v>505000</v>
      </c>
      <c r="J349" s="96">
        <v>0</v>
      </c>
      <c r="K349" s="106">
        <v>89</v>
      </c>
      <c r="L349" s="94" t="str" cm="1">
        <f t="array" ref="L349">_xlfn.IFS(J349&lt;2,"Fresher",J349&lt;=3,"Mid Level",J349&gt;3,"Experienced")</f>
        <v>Fresher</v>
      </c>
      <c r="M349" s="90" t="str" cm="1">
        <f t="array" ref="M349">_xlfn.IFS(I349&gt;=600000,"High",I349&gt;=450000,"Medium",I349&lt;450000,"Low")</f>
        <v>Medium</v>
      </c>
      <c r="N349" s="94">
        <f t="shared" si="20"/>
        <v>0.02</v>
      </c>
      <c r="O349" s="92" t="str">
        <f t="shared" si="21"/>
        <v>Unique</v>
      </c>
      <c r="P349" s="94">
        <f t="shared" si="19"/>
        <v>8</v>
      </c>
    </row>
    <row r="350" spans="1:16">
      <c r="A350" s="115">
        <v>3101348</v>
      </c>
      <c r="B350" s="85" t="s">
        <v>262</v>
      </c>
      <c r="C350" s="96" t="s">
        <v>27</v>
      </c>
      <c r="D350" s="85" t="s">
        <v>12</v>
      </c>
      <c r="E350" s="96" t="s">
        <v>303</v>
      </c>
      <c r="F350" s="96" t="s">
        <v>14</v>
      </c>
      <c r="G350" s="85" t="s">
        <v>256</v>
      </c>
      <c r="H350" s="98">
        <v>46183</v>
      </c>
      <c r="I350" s="85">
        <v>750000</v>
      </c>
      <c r="J350" s="96">
        <v>0</v>
      </c>
      <c r="K350" s="106">
        <v>67</v>
      </c>
      <c r="L350" s="94" t="str" cm="1">
        <f t="array" ref="L350">_xlfn.IFS(J350&lt;2,"Fresher",J350&lt;=3,"Mid Level",J350&gt;3,"Experienced")</f>
        <v>Fresher</v>
      </c>
      <c r="M350" s="90" t="str" cm="1">
        <f t="array" ref="M350">_xlfn.IFS(I350&gt;=600000,"High",I350&gt;=450000,"Medium",I350&lt;450000,"Low")</f>
        <v>High</v>
      </c>
      <c r="N350" s="94">
        <f t="shared" si="20"/>
        <v>0.02</v>
      </c>
      <c r="O350" s="92" t="str">
        <f t="shared" si="21"/>
        <v>Unique</v>
      </c>
      <c r="P350" s="94">
        <f t="shared" si="19"/>
        <v>6</v>
      </c>
    </row>
    <row r="351" spans="1:16">
      <c r="A351" s="115">
        <v>3101349</v>
      </c>
      <c r="B351" s="85" t="s">
        <v>282</v>
      </c>
      <c r="C351" s="96" t="s">
        <v>268</v>
      </c>
      <c r="D351" s="85" t="s">
        <v>28</v>
      </c>
      <c r="E351" s="96" t="s">
        <v>29</v>
      </c>
      <c r="F351" s="96" t="s">
        <v>20</v>
      </c>
      <c r="G351" s="85" t="s">
        <v>25</v>
      </c>
      <c r="H351" s="98">
        <v>46236</v>
      </c>
      <c r="I351" s="85">
        <v>345000</v>
      </c>
      <c r="J351" s="96">
        <v>5</v>
      </c>
      <c r="K351" s="106">
        <v>86</v>
      </c>
      <c r="L351" s="94" t="str" cm="1">
        <f t="array" ref="L351">_xlfn.IFS(J351&lt;2,"Fresher",J351&lt;=3,"Mid Level",J351&gt;3,"Experienced")</f>
        <v>Experienced</v>
      </c>
      <c r="M351" s="90" t="str" cm="1">
        <f t="array" ref="M351">_xlfn.IFS(I351&gt;=600000,"High",I351&gt;=450000,"Medium",I351&lt;450000,"Low")</f>
        <v>Low</v>
      </c>
      <c r="N351" s="94">
        <f t="shared" si="20"/>
        <v>0.05</v>
      </c>
      <c r="O351" s="92" t="str">
        <f t="shared" si="21"/>
        <v>Unique</v>
      </c>
      <c r="P351" s="94">
        <f t="shared" si="19"/>
        <v>8</v>
      </c>
    </row>
    <row r="352" spans="1:16">
      <c r="A352" s="115">
        <v>3101350</v>
      </c>
      <c r="B352" s="85" t="s">
        <v>307</v>
      </c>
      <c r="C352" s="96" t="s">
        <v>11</v>
      </c>
      <c r="D352" s="85" t="s">
        <v>12</v>
      </c>
      <c r="E352" s="96" t="s">
        <v>303</v>
      </c>
      <c r="F352" s="96" t="s">
        <v>14</v>
      </c>
      <c r="G352" s="85" t="s">
        <v>21</v>
      </c>
      <c r="H352" s="98">
        <v>46275</v>
      </c>
      <c r="I352" s="85">
        <v>720000</v>
      </c>
      <c r="J352" s="96">
        <v>5</v>
      </c>
      <c r="K352" s="106">
        <v>92</v>
      </c>
      <c r="L352" s="94" t="str" cm="1">
        <f t="array" ref="L352">_xlfn.IFS(J352&lt;2,"Fresher",J352&lt;=3,"Mid Level",J352&gt;3,"Experienced")</f>
        <v>Experienced</v>
      </c>
      <c r="M352" s="90" t="str" cm="1">
        <f t="array" ref="M352">_xlfn.IFS(I352&gt;=600000,"High",I352&gt;=450000,"Medium",I352&lt;450000,"Low")</f>
        <v>High</v>
      </c>
      <c r="N352" s="94">
        <f t="shared" si="20"/>
        <v>0.02</v>
      </c>
      <c r="O352" s="92" t="str">
        <f t="shared" si="21"/>
        <v>Unique</v>
      </c>
      <c r="P352" s="94">
        <f t="shared" si="19"/>
        <v>9</v>
      </c>
    </row>
    <row r="353" spans="1:16">
      <c r="A353" s="115">
        <v>3101351</v>
      </c>
      <c r="B353" s="85" t="s">
        <v>289</v>
      </c>
      <c r="C353" s="96" t="s">
        <v>38</v>
      </c>
      <c r="D353" s="85" t="s">
        <v>12</v>
      </c>
      <c r="E353" s="96" t="s">
        <v>36</v>
      </c>
      <c r="F353" s="96" t="s">
        <v>14</v>
      </c>
      <c r="G353" s="85" t="s">
        <v>256</v>
      </c>
      <c r="H353" s="98">
        <v>46259</v>
      </c>
      <c r="I353" s="85">
        <v>520000</v>
      </c>
      <c r="J353" s="96">
        <v>3</v>
      </c>
      <c r="K353" s="106">
        <v>69</v>
      </c>
      <c r="L353" s="94" t="str" cm="1">
        <f t="array" ref="L353">_xlfn.IFS(J353&lt;2,"Fresher",J353&lt;=3,"Mid Level",J353&gt;3,"Experienced")</f>
        <v>Mid Level</v>
      </c>
      <c r="M353" s="90" t="str" cm="1">
        <f t="array" ref="M353">_xlfn.IFS(I353&gt;=600000,"High",I353&gt;=450000,"Medium",I353&lt;450000,"Low")</f>
        <v>Medium</v>
      </c>
      <c r="N353" s="94">
        <f t="shared" si="20"/>
        <v>0.02</v>
      </c>
      <c r="O353" s="92" t="str">
        <f t="shared" si="21"/>
        <v>Unique</v>
      </c>
      <c r="P353" s="94">
        <f t="shared" si="19"/>
        <v>8</v>
      </c>
    </row>
    <row r="354" spans="1:16">
      <c r="A354" s="115">
        <v>3101352</v>
      </c>
      <c r="B354" s="85" t="s">
        <v>100</v>
      </c>
      <c r="C354" s="96" t="s">
        <v>38</v>
      </c>
      <c r="D354" s="85" t="s">
        <v>12</v>
      </c>
      <c r="E354" s="96" t="s">
        <v>23</v>
      </c>
      <c r="F354" s="96" t="s">
        <v>20</v>
      </c>
      <c r="G354" s="85" t="s">
        <v>21</v>
      </c>
      <c r="H354" s="98">
        <v>46152</v>
      </c>
      <c r="I354" s="85">
        <v>450000</v>
      </c>
      <c r="J354" s="96">
        <v>3</v>
      </c>
      <c r="K354" s="106">
        <v>81</v>
      </c>
      <c r="L354" s="94" t="str" cm="1">
        <f t="array" ref="L354">_xlfn.IFS(J354&lt;2,"Fresher",J354&lt;=3,"Mid Level",J354&gt;3,"Experienced")</f>
        <v>Mid Level</v>
      </c>
      <c r="M354" s="90" t="str" cm="1">
        <f t="array" ref="M354">_xlfn.IFS(I354&gt;=600000,"High",I354&gt;=450000,"Medium",I354&lt;450000,"Low")</f>
        <v>Medium</v>
      </c>
      <c r="N354" s="94">
        <f t="shared" si="20"/>
        <v>0.05</v>
      </c>
      <c r="O354" s="92" t="str">
        <f t="shared" si="21"/>
        <v>Unique</v>
      </c>
      <c r="P354" s="94">
        <f t="shared" si="19"/>
        <v>5</v>
      </c>
    </row>
    <row r="355" spans="1:16">
      <c r="A355" s="115">
        <v>3101353</v>
      </c>
      <c r="B355" s="85" t="s">
        <v>286</v>
      </c>
      <c r="C355" s="96" t="s">
        <v>258</v>
      </c>
      <c r="D355" s="85" t="s">
        <v>18</v>
      </c>
      <c r="E355" s="96" t="s">
        <v>39</v>
      </c>
      <c r="F355" s="96" t="s">
        <v>20</v>
      </c>
      <c r="G355" s="85" t="s">
        <v>256</v>
      </c>
      <c r="H355" s="98">
        <v>46243</v>
      </c>
      <c r="I355" s="85">
        <v>405000</v>
      </c>
      <c r="J355" s="96">
        <v>2</v>
      </c>
      <c r="K355" s="106">
        <v>94</v>
      </c>
      <c r="L355" s="94" t="str" cm="1">
        <f t="array" ref="L355">_xlfn.IFS(J355&lt;2,"Fresher",J355&lt;=3,"Mid Level",J355&gt;3,"Experienced")</f>
        <v>Mid Level</v>
      </c>
      <c r="M355" s="90" t="str" cm="1">
        <f t="array" ref="M355">_xlfn.IFS(I355&gt;=600000,"High",I355&gt;=450000,"Medium",I355&lt;450000,"Low")</f>
        <v>Low</v>
      </c>
      <c r="N355" s="94">
        <f t="shared" si="20"/>
        <v>0.05</v>
      </c>
      <c r="O355" s="92" t="str">
        <f t="shared" si="21"/>
        <v>Unique</v>
      </c>
      <c r="P355" s="94">
        <f t="shared" si="19"/>
        <v>8</v>
      </c>
    </row>
    <row r="356" spans="1:16">
      <c r="A356" s="115">
        <v>3101354</v>
      </c>
      <c r="B356" s="85" t="s">
        <v>296</v>
      </c>
      <c r="C356" s="96" t="s">
        <v>268</v>
      </c>
      <c r="D356" s="85" t="s">
        <v>18</v>
      </c>
      <c r="E356" s="96" t="s">
        <v>19</v>
      </c>
      <c r="F356" s="96" t="s">
        <v>24</v>
      </c>
      <c r="G356" s="85" t="s">
        <v>21</v>
      </c>
      <c r="H356" s="98">
        <v>46274</v>
      </c>
      <c r="I356" s="85">
        <v>335000</v>
      </c>
      <c r="J356" s="96">
        <v>4</v>
      </c>
      <c r="K356" s="106">
        <v>77</v>
      </c>
      <c r="L356" s="94" t="str" cm="1">
        <f t="array" ref="L356">_xlfn.IFS(J356&lt;2,"Fresher",J356&lt;=3,"Mid Level",J356&gt;3,"Experienced")</f>
        <v>Experienced</v>
      </c>
      <c r="M356" s="90" t="str" cm="1">
        <f t="array" ref="M356">_xlfn.IFS(I356&gt;=600000,"High",I356&gt;=450000,"Medium",I356&lt;450000,"Low")</f>
        <v>Low</v>
      </c>
      <c r="N356" s="94">
        <f t="shared" si="20"/>
        <v>0.02</v>
      </c>
      <c r="O356" s="92" t="str">
        <f t="shared" si="21"/>
        <v>Unique</v>
      </c>
      <c r="P356" s="94">
        <f t="shared" si="19"/>
        <v>9</v>
      </c>
    </row>
    <row r="357" spans="1:16">
      <c r="A357" s="115">
        <v>3101355</v>
      </c>
      <c r="B357" s="85" t="s">
        <v>301</v>
      </c>
      <c r="C357" s="96" t="s">
        <v>268</v>
      </c>
      <c r="D357" s="85" t="s">
        <v>32</v>
      </c>
      <c r="E357" s="96" t="s">
        <v>300</v>
      </c>
      <c r="F357" s="96" t="s">
        <v>20</v>
      </c>
      <c r="G357" s="85" t="s">
        <v>25</v>
      </c>
      <c r="H357" s="98">
        <v>46193</v>
      </c>
      <c r="I357" s="85">
        <v>420000</v>
      </c>
      <c r="J357" s="96">
        <v>2</v>
      </c>
      <c r="K357" s="106">
        <v>72</v>
      </c>
      <c r="L357" s="94" t="str" cm="1">
        <f t="array" ref="L357">_xlfn.IFS(J357&lt;2,"Fresher",J357&lt;=3,"Mid Level",J357&gt;3,"Experienced")</f>
        <v>Mid Level</v>
      </c>
      <c r="M357" s="90" t="str" cm="1">
        <f t="array" ref="M357">_xlfn.IFS(I357&gt;=600000,"High",I357&gt;=450000,"Medium",I357&lt;450000,"Low")</f>
        <v>Low</v>
      </c>
      <c r="N357" s="94">
        <f t="shared" si="20"/>
        <v>0.05</v>
      </c>
      <c r="O357" s="92" t="str">
        <f t="shared" si="21"/>
        <v>Unique</v>
      </c>
      <c r="P357" s="94">
        <f t="shared" si="19"/>
        <v>6</v>
      </c>
    </row>
    <row r="358" spans="1:16">
      <c r="A358" s="115">
        <v>3101356</v>
      </c>
      <c r="B358" s="85" t="s">
        <v>275</v>
      </c>
      <c r="C358" s="96" t="s">
        <v>38</v>
      </c>
      <c r="D358" s="85" t="s">
        <v>28</v>
      </c>
      <c r="E358" s="96" t="s">
        <v>29</v>
      </c>
      <c r="F358" s="96" t="s">
        <v>34</v>
      </c>
      <c r="G358" s="85" t="s">
        <v>256</v>
      </c>
      <c r="H358" s="98">
        <v>46292</v>
      </c>
      <c r="I358" s="85">
        <v>420000</v>
      </c>
      <c r="J358" s="96">
        <v>3</v>
      </c>
      <c r="K358" s="106">
        <v>90</v>
      </c>
      <c r="L358" s="94" t="str" cm="1">
        <f t="array" ref="L358">_xlfn.IFS(J358&lt;2,"Fresher",J358&lt;=3,"Mid Level",J358&gt;3,"Experienced")</f>
        <v>Mid Level</v>
      </c>
      <c r="M358" s="90" t="str" cm="1">
        <f t="array" ref="M358">_xlfn.IFS(I358&gt;=600000,"High",I358&gt;=450000,"Medium",I358&lt;450000,"Low")</f>
        <v>Low</v>
      </c>
      <c r="N358" s="94">
        <f t="shared" si="20"/>
        <v>0.01</v>
      </c>
      <c r="O358" s="92" t="str">
        <f t="shared" si="21"/>
        <v>Unique</v>
      </c>
      <c r="P358" s="94">
        <f t="shared" si="19"/>
        <v>9</v>
      </c>
    </row>
    <row r="359" spans="1:16">
      <c r="A359" s="115">
        <v>3101357</v>
      </c>
      <c r="B359" s="85" t="s">
        <v>266</v>
      </c>
      <c r="C359" s="96" t="s">
        <v>27</v>
      </c>
      <c r="D359" s="85" t="s">
        <v>28</v>
      </c>
      <c r="E359" s="96" t="s">
        <v>29</v>
      </c>
      <c r="F359" s="96" t="s">
        <v>24</v>
      </c>
      <c r="G359" s="85" t="s">
        <v>256</v>
      </c>
      <c r="H359" s="98">
        <v>46230</v>
      </c>
      <c r="I359" s="85">
        <v>445000</v>
      </c>
      <c r="J359" s="96">
        <v>2</v>
      </c>
      <c r="K359" s="106">
        <v>74</v>
      </c>
      <c r="L359" s="94" t="str" cm="1">
        <f t="array" ref="L359">_xlfn.IFS(J359&lt;2,"Fresher",J359&lt;=3,"Mid Level",J359&gt;3,"Experienced")</f>
        <v>Mid Level</v>
      </c>
      <c r="M359" s="90" t="str" cm="1">
        <f t="array" ref="M359">_xlfn.IFS(I359&gt;=600000,"High",I359&gt;=450000,"Medium",I359&lt;450000,"Low")</f>
        <v>Low</v>
      </c>
      <c r="N359" s="94">
        <f t="shared" si="20"/>
        <v>0.02</v>
      </c>
      <c r="O359" s="92" t="str">
        <f t="shared" si="21"/>
        <v>Unique</v>
      </c>
      <c r="P359" s="94">
        <f t="shared" si="19"/>
        <v>7</v>
      </c>
    </row>
    <row r="360" spans="1:16">
      <c r="A360" s="115">
        <v>3101358</v>
      </c>
      <c r="B360" s="85" t="s">
        <v>271</v>
      </c>
      <c r="C360" s="96" t="s">
        <v>17</v>
      </c>
      <c r="D360" s="85" t="s">
        <v>12</v>
      </c>
      <c r="E360" s="96" t="s">
        <v>303</v>
      </c>
      <c r="F360" s="96" t="s">
        <v>34</v>
      </c>
      <c r="G360" s="85" t="s">
        <v>21</v>
      </c>
      <c r="H360" s="98">
        <v>46193</v>
      </c>
      <c r="I360" s="85">
        <v>620000</v>
      </c>
      <c r="J360" s="96">
        <v>1</v>
      </c>
      <c r="K360" s="106">
        <v>85</v>
      </c>
      <c r="L360" s="94" t="str" cm="1">
        <f t="array" ref="L360">_xlfn.IFS(J360&lt;2,"Fresher",J360&lt;=3,"Mid Level",J360&gt;3,"Experienced")</f>
        <v>Fresher</v>
      </c>
      <c r="M360" s="90" t="str" cm="1">
        <f t="array" ref="M360">_xlfn.IFS(I360&gt;=600000,"High",I360&gt;=450000,"Medium",I360&lt;450000,"Low")</f>
        <v>High</v>
      </c>
      <c r="N360" s="94">
        <f t="shared" si="20"/>
        <v>0.01</v>
      </c>
      <c r="O360" s="92" t="str">
        <f t="shared" si="21"/>
        <v>Unique</v>
      </c>
      <c r="P360" s="94">
        <f t="shared" si="19"/>
        <v>6</v>
      </c>
    </row>
    <row r="361" spans="1:16">
      <c r="A361" s="115">
        <v>3101359</v>
      </c>
      <c r="B361" s="85" t="s">
        <v>299</v>
      </c>
      <c r="C361" s="96" t="s">
        <v>260</v>
      </c>
      <c r="D361" s="85" t="s">
        <v>32</v>
      </c>
      <c r="E361" s="96" t="s">
        <v>33</v>
      </c>
      <c r="F361" s="96" t="s">
        <v>24</v>
      </c>
      <c r="G361" s="85" t="s">
        <v>21</v>
      </c>
      <c r="H361" s="98">
        <v>46244</v>
      </c>
      <c r="I361" s="85">
        <v>340000</v>
      </c>
      <c r="J361" s="96">
        <v>5</v>
      </c>
      <c r="K361" s="106">
        <v>94</v>
      </c>
      <c r="L361" s="94" t="str" cm="1">
        <f t="array" ref="L361">_xlfn.IFS(J361&lt;2,"Fresher",J361&lt;=3,"Mid Level",J361&gt;3,"Experienced")</f>
        <v>Experienced</v>
      </c>
      <c r="M361" s="90" t="str" cm="1">
        <f t="array" ref="M361">_xlfn.IFS(I361&gt;=600000,"High",I361&gt;=450000,"Medium",I361&lt;450000,"Low")</f>
        <v>Low</v>
      </c>
      <c r="N361" s="94">
        <f t="shared" si="20"/>
        <v>0.02</v>
      </c>
      <c r="O361" s="92" t="str">
        <f t="shared" si="21"/>
        <v>Duplicate</v>
      </c>
      <c r="P361" s="94">
        <f t="shared" si="19"/>
        <v>8</v>
      </c>
    </row>
    <row r="362" spans="1:16">
      <c r="A362" s="115">
        <v>3101360</v>
      </c>
      <c r="B362" s="85" t="s">
        <v>273</v>
      </c>
      <c r="C362" s="96" t="s">
        <v>260</v>
      </c>
      <c r="D362" s="85" t="s">
        <v>12</v>
      </c>
      <c r="E362" s="96" t="s">
        <v>261</v>
      </c>
      <c r="F362" s="96" t="s">
        <v>20</v>
      </c>
      <c r="G362" s="85" t="s">
        <v>15</v>
      </c>
      <c r="H362" s="98">
        <v>46168</v>
      </c>
      <c r="I362" s="85">
        <v>685000</v>
      </c>
      <c r="J362" s="96">
        <v>0</v>
      </c>
      <c r="K362" s="106">
        <v>68</v>
      </c>
      <c r="L362" s="94" t="str" cm="1">
        <f t="array" ref="L362">_xlfn.IFS(J362&lt;2,"Fresher",J362&lt;=3,"Mid Level",J362&gt;3,"Experienced")</f>
        <v>Fresher</v>
      </c>
      <c r="M362" s="90" t="str" cm="1">
        <f t="array" ref="M362">_xlfn.IFS(I362&gt;=600000,"High",I362&gt;=450000,"Medium",I362&lt;450000,"Low")</f>
        <v>High</v>
      </c>
      <c r="N362" s="94">
        <f t="shared" si="20"/>
        <v>0.05</v>
      </c>
      <c r="O362" s="92" t="str">
        <f t="shared" si="21"/>
        <v>Unique</v>
      </c>
      <c r="P362" s="94">
        <f t="shared" si="19"/>
        <v>5</v>
      </c>
    </row>
    <row r="363" spans="1:16">
      <c r="A363" s="115">
        <v>3101361</v>
      </c>
      <c r="B363" s="85" t="s">
        <v>290</v>
      </c>
      <c r="C363" s="96" t="s">
        <v>38</v>
      </c>
      <c r="D363" s="85" t="s">
        <v>12</v>
      </c>
      <c r="E363" s="96" t="s">
        <v>23</v>
      </c>
      <c r="F363" s="96" t="s">
        <v>20</v>
      </c>
      <c r="G363" s="85" t="s">
        <v>21</v>
      </c>
      <c r="H363" s="98">
        <v>46158</v>
      </c>
      <c r="I363" s="85">
        <v>615000</v>
      </c>
      <c r="J363" s="96">
        <v>2</v>
      </c>
      <c r="K363" s="106">
        <v>87</v>
      </c>
      <c r="L363" s="94" t="str" cm="1">
        <f t="array" ref="L363">_xlfn.IFS(J363&lt;2,"Fresher",J363&lt;=3,"Mid Level",J363&gt;3,"Experienced")</f>
        <v>Mid Level</v>
      </c>
      <c r="M363" s="90" t="str" cm="1">
        <f t="array" ref="M363">_xlfn.IFS(I363&gt;=600000,"High",I363&gt;=450000,"Medium",I363&lt;450000,"Low")</f>
        <v>High</v>
      </c>
      <c r="N363" s="94">
        <f t="shared" si="20"/>
        <v>0.05</v>
      </c>
      <c r="O363" s="92" t="str">
        <f t="shared" si="21"/>
        <v>Unique</v>
      </c>
      <c r="P363" s="94">
        <f t="shared" si="19"/>
        <v>5</v>
      </c>
    </row>
    <row r="364" spans="1:16">
      <c r="A364" s="115">
        <v>3101362</v>
      </c>
      <c r="B364" s="85" t="s">
        <v>280</v>
      </c>
      <c r="C364" s="96" t="s">
        <v>260</v>
      </c>
      <c r="D364" s="85" t="s">
        <v>18</v>
      </c>
      <c r="E364" s="96" t="s">
        <v>39</v>
      </c>
      <c r="F364" s="96" t="s">
        <v>14</v>
      </c>
      <c r="G364" s="85" t="s">
        <v>21</v>
      </c>
      <c r="H364" s="98">
        <v>46191</v>
      </c>
      <c r="I364" s="85">
        <v>450000</v>
      </c>
      <c r="J364" s="96">
        <v>0</v>
      </c>
      <c r="K364" s="106">
        <v>82</v>
      </c>
      <c r="L364" s="94" t="str" cm="1">
        <f t="array" ref="L364">_xlfn.IFS(J364&lt;2,"Fresher",J364&lt;=3,"Mid Level",J364&gt;3,"Experienced")</f>
        <v>Fresher</v>
      </c>
      <c r="M364" s="90" t="str" cm="1">
        <f t="array" ref="M364">_xlfn.IFS(I364&gt;=600000,"High",I364&gt;=450000,"Medium",I364&lt;450000,"Low")</f>
        <v>Medium</v>
      </c>
      <c r="N364" s="94">
        <f t="shared" si="20"/>
        <v>0.02</v>
      </c>
      <c r="O364" s="92" t="str">
        <f t="shared" si="21"/>
        <v>Unique</v>
      </c>
      <c r="P364" s="94">
        <f t="shared" si="19"/>
        <v>6</v>
      </c>
    </row>
    <row r="365" spans="1:16">
      <c r="A365" s="115">
        <v>3101363</v>
      </c>
      <c r="B365" s="85" t="s">
        <v>298</v>
      </c>
      <c r="C365" s="96" t="s">
        <v>11</v>
      </c>
      <c r="D365" s="85" t="s">
        <v>28</v>
      </c>
      <c r="E365" s="96" t="s">
        <v>297</v>
      </c>
      <c r="F365" s="96" t="s">
        <v>34</v>
      </c>
      <c r="G365" s="85" t="s">
        <v>21</v>
      </c>
      <c r="H365" s="98">
        <v>46196</v>
      </c>
      <c r="I365" s="85">
        <v>615000</v>
      </c>
      <c r="J365" s="96">
        <v>5</v>
      </c>
      <c r="K365" s="106">
        <v>76</v>
      </c>
      <c r="L365" s="94" t="str" cm="1">
        <f t="array" ref="L365">_xlfn.IFS(J365&lt;2,"Fresher",J365&lt;=3,"Mid Level",J365&gt;3,"Experienced")</f>
        <v>Experienced</v>
      </c>
      <c r="M365" s="90" t="str" cm="1">
        <f t="array" ref="M365">_xlfn.IFS(I365&gt;=600000,"High",I365&gt;=450000,"Medium",I365&lt;450000,"Low")</f>
        <v>High</v>
      </c>
      <c r="N365" s="94">
        <f t="shared" si="20"/>
        <v>0.01</v>
      </c>
      <c r="O365" s="92" t="str">
        <f t="shared" si="21"/>
        <v>Unique</v>
      </c>
      <c r="P365" s="94">
        <f t="shared" si="19"/>
        <v>6</v>
      </c>
    </row>
    <row r="366" spans="1:16">
      <c r="A366" s="115">
        <v>3101364</v>
      </c>
      <c r="B366" s="85" t="s">
        <v>305</v>
      </c>
      <c r="C366" s="96" t="s">
        <v>268</v>
      </c>
      <c r="D366" s="85" t="s">
        <v>12</v>
      </c>
      <c r="E366" s="96" t="s">
        <v>265</v>
      </c>
      <c r="F366" s="96" t="s">
        <v>20</v>
      </c>
      <c r="G366" s="85" t="s">
        <v>25</v>
      </c>
      <c r="H366" s="98">
        <v>46234</v>
      </c>
      <c r="I366" s="85">
        <v>515000</v>
      </c>
      <c r="J366" s="96">
        <v>0</v>
      </c>
      <c r="K366" s="106">
        <v>88</v>
      </c>
      <c r="L366" s="94" t="str" cm="1">
        <f t="array" ref="L366">_xlfn.IFS(J366&lt;2,"Fresher",J366&lt;=3,"Mid Level",J366&gt;3,"Experienced")</f>
        <v>Fresher</v>
      </c>
      <c r="M366" s="90" t="str" cm="1">
        <f t="array" ref="M366">_xlfn.IFS(I366&gt;=600000,"High",I366&gt;=450000,"Medium",I366&lt;450000,"Low")</f>
        <v>Medium</v>
      </c>
      <c r="N366" s="94">
        <f t="shared" si="20"/>
        <v>0.05</v>
      </c>
      <c r="O366" s="92" t="str">
        <f t="shared" si="21"/>
        <v>Unique</v>
      </c>
      <c r="P366" s="94">
        <f t="shared" si="19"/>
        <v>7</v>
      </c>
    </row>
    <row r="367" spans="1:16">
      <c r="A367" s="115">
        <v>3101365</v>
      </c>
      <c r="B367" s="85" t="s">
        <v>312</v>
      </c>
      <c r="C367" s="96" t="s">
        <v>27</v>
      </c>
      <c r="D367" s="85" t="s">
        <v>12</v>
      </c>
      <c r="E367" s="96" t="s">
        <v>303</v>
      </c>
      <c r="F367" s="96" t="s">
        <v>34</v>
      </c>
      <c r="G367" s="85" t="s">
        <v>25</v>
      </c>
      <c r="H367" s="98">
        <v>46254</v>
      </c>
      <c r="I367" s="85">
        <v>570000</v>
      </c>
      <c r="J367" s="96">
        <v>2</v>
      </c>
      <c r="K367" s="106">
        <v>91</v>
      </c>
      <c r="L367" s="94" t="str" cm="1">
        <f t="array" ref="L367">_xlfn.IFS(J367&lt;2,"Fresher",J367&lt;=3,"Mid Level",J367&gt;3,"Experienced")</f>
        <v>Mid Level</v>
      </c>
      <c r="M367" s="90" t="str" cm="1">
        <f t="array" ref="M367">_xlfn.IFS(I367&gt;=600000,"High",I367&gt;=450000,"Medium",I367&lt;450000,"Low")</f>
        <v>Medium</v>
      </c>
      <c r="N367" s="94">
        <f t="shared" si="20"/>
        <v>0.01</v>
      </c>
      <c r="O367" s="92" t="str">
        <f t="shared" si="21"/>
        <v>Unique</v>
      </c>
      <c r="P367" s="94">
        <f t="shared" si="19"/>
        <v>8</v>
      </c>
    </row>
    <row r="368" spans="1:16">
      <c r="A368" s="115">
        <v>3101366</v>
      </c>
      <c r="B368" s="85" t="s">
        <v>302</v>
      </c>
      <c r="C368" s="96" t="s">
        <v>260</v>
      </c>
      <c r="D368" s="85" t="s">
        <v>28</v>
      </c>
      <c r="E368" s="96" t="s">
        <v>297</v>
      </c>
      <c r="F368" s="96" t="s">
        <v>24</v>
      </c>
      <c r="G368" s="85" t="s">
        <v>25</v>
      </c>
      <c r="H368" s="98">
        <v>46155</v>
      </c>
      <c r="I368" s="85">
        <v>405000</v>
      </c>
      <c r="J368" s="96">
        <v>0</v>
      </c>
      <c r="K368" s="106">
        <v>69</v>
      </c>
      <c r="L368" s="94" t="str" cm="1">
        <f t="array" ref="L368">_xlfn.IFS(J368&lt;2,"Fresher",J368&lt;=3,"Mid Level",J368&gt;3,"Experienced")</f>
        <v>Fresher</v>
      </c>
      <c r="M368" s="90" t="str" cm="1">
        <f t="array" ref="M368">_xlfn.IFS(I368&gt;=600000,"High",I368&gt;=450000,"Medium",I368&lt;450000,"Low")</f>
        <v>Low</v>
      </c>
      <c r="N368" s="94">
        <f t="shared" si="20"/>
        <v>0.02</v>
      </c>
      <c r="O368" s="92" t="str">
        <f t="shared" si="21"/>
        <v>Unique</v>
      </c>
      <c r="P368" s="94">
        <f t="shared" si="19"/>
        <v>5</v>
      </c>
    </row>
    <row r="369" spans="1:16">
      <c r="A369" s="115">
        <v>3101367</v>
      </c>
      <c r="B369" s="85" t="s">
        <v>262</v>
      </c>
      <c r="C369" s="96" t="s">
        <v>11</v>
      </c>
      <c r="D369" s="85" t="s">
        <v>32</v>
      </c>
      <c r="E369" s="96" t="s">
        <v>33</v>
      </c>
      <c r="F369" s="96" t="s">
        <v>24</v>
      </c>
      <c r="G369" s="85" t="s">
        <v>21</v>
      </c>
      <c r="H369" s="98">
        <v>46192</v>
      </c>
      <c r="I369" s="85">
        <v>425000</v>
      </c>
      <c r="J369" s="96">
        <v>3</v>
      </c>
      <c r="K369" s="106">
        <v>95</v>
      </c>
      <c r="L369" s="94" t="str" cm="1">
        <f t="array" ref="L369">_xlfn.IFS(J369&lt;2,"Fresher",J369&lt;=3,"Mid Level",J369&gt;3,"Experienced")</f>
        <v>Mid Level</v>
      </c>
      <c r="M369" s="90" t="str" cm="1">
        <f t="array" ref="M369">_xlfn.IFS(I369&gt;=600000,"High",I369&gt;=450000,"Medium",I369&lt;450000,"Low")</f>
        <v>Low</v>
      </c>
      <c r="N369" s="94">
        <f t="shared" si="20"/>
        <v>0.02</v>
      </c>
      <c r="O369" s="92" t="str">
        <f t="shared" si="21"/>
        <v>Unique</v>
      </c>
      <c r="P369" s="94">
        <f t="shared" si="19"/>
        <v>6</v>
      </c>
    </row>
    <row r="370" spans="1:16">
      <c r="A370" s="115">
        <v>3101368</v>
      </c>
      <c r="B370" s="85" t="s">
        <v>174</v>
      </c>
      <c r="C370" s="96" t="s">
        <v>258</v>
      </c>
      <c r="D370" s="85" t="s">
        <v>28</v>
      </c>
      <c r="E370" s="96" t="s">
        <v>297</v>
      </c>
      <c r="F370" s="96" t="s">
        <v>20</v>
      </c>
      <c r="G370" s="85" t="s">
        <v>21</v>
      </c>
      <c r="H370" s="98">
        <v>46254</v>
      </c>
      <c r="I370" s="85">
        <v>530000</v>
      </c>
      <c r="J370" s="96">
        <v>4</v>
      </c>
      <c r="K370" s="106">
        <v>73</v>
      </c>
      <c r="L370" s="94" t="str" cm="1">
        <f t="array" ref="L370">_xlfn.IFS(J370&lt;2,"Fresher",J370&lt;=3,"Mid Level",J370&gt;3,"Experienced")</f>
        <v>Experienced</v>
      </c>
      <c r="M370" s="90" t="str" cm="1">
        <f t="array" ref="M370">_xlfn.IFS(I370&gt;=600000,"High",I370&gt;=450000,"Medium",I370&lt;450000,"Low")</f>
        <v>Medium</v>
      </c>
      <c r="N370" s="94">
        <f t="shared" si="20"/>
        <v>0.05</v>
      </c>
      <c r="O370" s="92" t="str">
        <f t="shared" si="21"/>
        <v>Unique</v>
      </c>
      <c r="P370" s="94">
        <f t="shared" si="19"/>
        <v>8</v>
      </c>
    </row>
    <row r="371" spans="1:16">
      <c r="A371" s="115">
        <v>3101369</v>
      </c>
      <c r="B371" s="85" t="s">
        <v>284</v>
      </c>
      <c r="C371" s="96" t="s">
        <v>258</v>
      </c>
      <c r="D371" s="85" t="s">
        <v>18</v>
      </c>
      <c r="E371" s="96" t="s">
        <v>39</v>
      </c>
      <c r="F371" s="96" t="s">
        <v>20</v>
      </c>
      <c r="G371" s="85" t="s">
        <v>25</v>
      </c>
      <c r="H371" s="98">
        <v>46163</v>
      </c>
      <c r="I371" s="85">
        <v>405000</v>
      </c>
      <c r="J371" s="96">
        <v>3</v>
      </c>
      <c r="K371" s="106">
        <v>84</v>
      </c>
      <c r="L371" s="94" t="str" cm="1">
        <f t="array" ref="L371">_xlfn.IFS(J371&lt;2,"Fresher",J371&lt;=3,"Mid Level",J371&gt;3,"Experienced")</f>
        <v>Mid Level</v>
      </c>
      <c r="M371" s="90" t="str" cm="1">
        <f t="array" ref="M371">_xlfn.IFS(I371&gt;=600000,"High",I371&gt;=450000,"Medium",I371&lt;450000,"Low")</f>
        <v>Low</v>
      </c>
      <c r="N371" s="94">
        <f t="shared" si="20"/>
        <v>0.05</v>
      </c>
      <c r="O371" s="92" t="str">
        <f t="shared" si="21"/>
        <v>Unique</v>
      </c>
      <c r="P371" s="94">
        <f t="shared" si="19"/>
        <v>5</v>
      </c>
    </row>
    <row r="372" spans="1:16">
      <c r="A372" s="115">
        <v>3101370</v>
      </c>
      <c r="B372" s="85" t="s">
        <v>100</v>
      </c>
      <c r="C372" s="96" t="s">
        <v>260</v>
      </c>
      <c r="D372" s="85" t="s">
        <v>12</v>
      </c>
      <c r="E372" s="96" t="s">
        <v>13</v>
      </c>
      <c r="F372" s="96" t="s">
        <v>24</v>
      </c>
      <c r="G372" s="85" t="s">
        <v>256</v>
      </c>
      <c r="H372" s="98">
        <v>46265</v>
      </c>
      <c r="I372" s="85">
        <v>600000</v>
      </c>
      <c r="J372" s="96">
        <v>4</v>
      </c>
      <c r="K372" s="106">
        <v>79</v>
      </c>
      <c r="L372" s="94" t="str" cm="1">
        <f t="array" ref="L372">_xlfn.IFS(J372&lt;2,"Fresher",J372&lt;=3,"Mid Level",J372&gt;3,"Experienced")</f>
        <v>Experienced</v>
      </c>
      <c r="M372" s="90" t="str" cm="1">
        <f t="array" ref="M372">_xlfn.IFS(I372&gt;=600000,"High",I372&gt;=450000,"Medium",I372&lt;450000,"Low")</f>
        <v>High</v>
      </c>
      <c r="N372" s="94">
        <f t="shared" si="20"/>
        <v>0.02</v>
      </c>
      <c r="O372" s="92" t="str">
        <f t="shared" si="21"/>
        <v>Unique</v>
      </c>
      <c r="P372" s="94">
        <f t="shared" si="19"/>
        <v>8</v>
      </c>
    </row>
    <row r="373" spans="1:16">
      <c r="A373" s="115">
        <v>3101371</v>
      </c>
      <c r="B373" s="85" t="s">
        <v>301</v>
      </c>
      <c r="C373" s="96" t="s">
        <v>260</v>
      </c>
      <c r="D373" s="85" t="s">
        <v>18</v>
      </c>
      <c r="E373" s="96" t="s">
        <v>39</v>
      </c>
      <c r="F373" s="96" t="s">
        <v>20</v>
      </c>
      <c r="G373" s="85" t="s">
        <v>256</v>
      </c>
      <c r="H373" s="98">
        <v>46179</v>
      </c>
      <c r="I373" s="85">
        <v>430000</v>
      </c>
      <c r="J373" s="96">
        <v>2</v>
      </c>
      <c r="K373" s="106">
        <v>71</v>
      </c>
      <c r="L373" s="94" t="str" cm="1">
        <f t="array" ref="L373">_xlfn.IFS(J373&lt;2,"Fresher",J373&lt;=3,"Mid Level",J373&gt;3,"Experienced")</f>
        <v>Mid Level</v>
      </c>
      <c r="M373" s="90" t="str" cm="1">
        <f t="array" ref="M373">_xlfn.IFS(I373&gt;=600000,"High",I373&gt;=450000,"Medium",I373&lt;450000,"Low")</f>
        <v>Low</v>
      </c>
      <c r="N373" s="94">
        <f t="shared" si="20"/>
        <v>0.05</v>
      </c>
      <c r="O373" s="92" t="str">
        <f t="shared" si="21"/>
        <v>Unique</v>
      </c>
      <c r="P373" s="94">
        <f t="shared" si="19"/>
        <v>6</v>
      </c>
    </row>
    <row r="374" spans="1:16">
      <c r="A374" s="115">
        <v>3101372</v>
      </c>
      <c r="B374" s="85" t="s">
        <v>273</v>
      </c>
      <c r="C374" s="96" t="s">
        <v>11</v>
      </c>
      <c r="D374" s="85" t="s">
        <v>12</v>
      </c>
      <c r="E374" s="96" t="s">
        <v>261</v>
      </c>
      <c r="F374" s="96" t="s">
        <v>20</v>
      </c>
      <c r="G374" s="85" t="s">
        <v>15</v>
      </c>
      <c r="H374" s="98">
        <v>46286</v>
      </c>
      <c r="I374" s="85">
        <v>625000</v>
      </c>
      <c r="J374" s="96">
        <v>2</v>
      </c>
      <c r="K374" s="106">
        <v>89</v>
      </c>
      <c r="L374" s="94" t="str" cm="1">
        <f t="array" ref="L374">_xlfn.IFS(J374&lt;2,"Fresher",J374&lt;=3,"Mid Level",J374&gt;3,"Experienced")</f>
        <v>Mid Level</v>
      </c>
      <c r="M374" s="90" t="str" cm="1">
        <f t="array" ref="M374">_xlfn.IFS(I374&gt;=600000,"High",I374&gt;=450000,"Medium",I374&lt;450000,"Low")</f>
        <v>High</v>
      </c>
      <c r="N374" s="94">
        <f t="shared" si="20"/>
        <v>0.05</v>
      </c>
      <c r="O374" s="92" t="str">
        <f t="shared" si="21"/>
        <v>Unique</v>
      </c>
      <c r="P374" s="94">
        <f t="shared" si="19"/>
        <v>9</v>
      </c>
    </row>
    <row r="375" spans="1:16">
      <c r="A375" s="115">
        <v>3101373</v>
      </c>
      <c r="B375" s="85" t="s">
        <v>277</v>
      </c>
      <c r="C375" s="96" t="s">
        <v>268</v>
      </c>
      <c r="D375" s="85" t="s">
        <v>18</v>
      </c>
      <c r="E375" s="96" t="s">
        <v>19</v>
      </c>
      <c r="F375" s="96" t="s">
        <v>24</v>
      </c>
      <c r="G375" s="85" t="s">
        <v>21</v>
      </c>
      <c r="H375" s="98">
        <v>46233</v>
      </c>
      <c r="I375" s="85">
        <v>310000</v>
      </c>
      <c r="J375" s="96">
        <v>2</v>
      </c>
      <c r="K375" s="106">
        <v>67</v>
      </c>
      <c r="L375" s="94" t="str" cm="1">
        <f t="array" ref="L375">_xlfn.IFS(J375&lt;2,"Fresher",J375&lt;=3,"Mid Level",J375&gt;3,"Experienced")</f>
        <v>Mid Level</v>
      </c>
      <c r="M375" s="90" t="str" cm="1">
        <f t="array" ref="M375">_xlfn.IFS(I375&gt;=600000,"High",I375&gt;=450000,"Medium",I375&lt;450000,"Low")</f>
        <v>Low</v>
      </c>
      <c r="N375" s="94">
        <f t="shared" si="20"/>
        <v>0.02</v>
      </c>
      <c r="O375" s="92" t="str">
        <f t="shared" si="21"/>
        <v>Unique</v>
      </c>
      <c r="P375" s="94">
        <f t="shared" si="19"/>
        <v>7</v>
      </c>
    </row>
    <row r="376" spans="1:16">
      <c r="A376" s="115">
        <v>3101374</v>
      </c>
      <c r="B376" s="85" t="s">
        <v>267</v>
      </c>
      <c r="C376" s="96" t="s">
        <v>38</v>
      </c>
      <c r="D376" s="85" t="s">
        <v>18</v>
      </c>
      <c r="E376" s="96" t="s">
        <v>39</v>
      </c>
      <c r="F376" s="96" t="s">
        <v>20</v>
      </c>
      <c r="G376" s="85" t="s">
        <v>256</v>
      </c>
      <c r="H376" s="98">
        <v>46209</v>
      </c>
      <c r="I376" s="85">
        <v>320000</v>
      </c>
      <c r="J376" s="96">
        <v>2</v>
      </c>
      <c r="K376" s="106">
        <v>86</v>
      </c>
      <c r="L376" s="94" t="str" cm="1">
        <f t="array" ref="L376">_xlfn.IFS(J376&lt;2,"Fresher",J376&lt;=3,"Mid Level",J376&gt;3,"Experienced")</f>
        <v>Mid Level</v>
      </c>
      <c r="M376" s="90" t="str" cm="1">
        <f t="array" ref="M376">_xlfn.IFS(I376&gt;=600000,"High",I376&gt;=450000,"Medium",I376&lt;450000,"Low")</f>
        <v>Low</v>
      </c>
      <c r="N376" s="94">
        <f t="shared" si="20"/>
        <v>0.05</v>
      </c>
      <c r="O376" s="92" t="str">
        <f t="shared" si="21"/>
        <v>Unique</v>
      </c>
      <c r="P376" s="94">
        <f t="shared" si="19"/>
        <v>7</v>
      </c>
    </row>
    <row r="377" spans="1:16">
      <c r="A377" s="115">
        <v>3101375</v>
      </c>
      <c r="B377" s="85" t="s">
        <v>259</v>
      </c>
      <c r="C377" s="96" t="s">
        <v>264</v>
      </c>
      <c r="D377" s="85" t="s">
        <v>12</v>
      </c>
      <c r="E377" s="96" t="s">
        <v>36</v>
      </c>
      <c r="F377" s="96" t="s">
        <v>14</v>
      </c>
      <c r="G377" s="85" t="s">
        <v>25</v>
      </c>
      <c r="H377" s="98">
        <v>46156</v>
      </c>
      <c r="I377" s="85">
        <v>775000</v>
      </c>
      <c r="J377" s="96">
        <v>3</v>
      </c>
      <c r="K377" s="106">
        <v>92</v>
      </c>
      <c r="L377" s="94" t="str" cm="1">
        <f t="array" ref="L377">_xlfn.IFS(J377&lt;2,"Fresher",J377&lt;=3,"Mid Level",J377&gt;3,"Experienced")</f>
        <v>Mid Level</v>
      </c>
      <c r="M377" s="90" t="str" cm="1">
        <f t="array" ref="M377">_xlfn.IFS(I377&gt;=600000,"High",I377&gt;=450000,"Medium",I377&lt;450000,"Low")</f>
        <v>High</v>
      </c>
      <c r="N377" s="94">
        <f t="shared" si="20"/>
        <v>0.02</v>
      </c>
      <c r="O377" s="92" t="str">
        <f t="shared" si="21"/>
        <v>Unique</v>
      </c>
      <c r="P377" s="94">
        <f t="shared" si="19"/>
        <v>5</v>
      </c>
    </row>
    <row r="378" spans="1:16">
      <c r="A378" s="115">
        <v>3101376</v>
      </c>
      <c r="B378" s="85" t="s">
        <v>293</v>
      </c>
      <c r="C378" s="96" t="s">
        <v>258</v>
      </c>
      <c r="D378" s="85" t="s">
        <v>12</v>
      </c>
      <c r="E378" s="96" t="s">
        <v>303</v>
      </c>
      <c r="F378" s="96" t="s">
        <v>24</v>
      </c>
      <c r="G378" s="85" t="s">
        <v>21</v>
      </c>
      <c r="H378" s="98">
        <v>46156</v>
      </c>
      <c r="I378" s="85">
        <v>800000</v>
      </c>
      <c r="J378" s="96">
        <v>2</v>
      </c>
      <c r="K378" s="106">
        <v>69</v>
      </c>
      <c r="L378" s="94" t="str" cm="1">
        <f t="array" ref="L378">_xlfn.IFS(J378&lt;2,"Fresher",J378&lt;=3,"Mid Level",J378&gt;3,"Experienced")</f>
        <v>Mid Level</v>
      </c>
      <c r="M378" s="90" t="str" cm="1">
        <f t="array" ref="M378">_xlfn.IFS(I378&gt;=600000,"High",I378&gt;=450000,"Medium",I378&lt;450000,"Low")</f>
        <v>High</v>
      </c>
      <c r="N378" s="94">
        <f t="shared" si="20"/>
        <v>0.02</v>
      </c>
      <c r="O378" s="92" t="str">
        <f t="shared" si="21"/>
        <v>Unique</v>
      </c>
      <c r="P378" s="94">
        <f t="shared" si="19"/>
        <v>5</v>
      </c>
    </row>
    <row r="379" spans="1:16">
      <c r="A379" s="115">
        <v>3101377</v>
      </c>
      <c r="B379" s="85" t="s">
        <v>294</v>
      </c>
      <c r="C379" s="96" t="s">
        <v>268</v>
      </c>
      <c r="D379" s="85" t="s">
        <v>28</v>
      </c>
      <c r="E379" s="96" t="s">
        <v>29</v>
      </c>
      <c r="F379" s="96" t="s">
        <v>14</v>
      </c>
      <c r="G379" s="85" t="s">
        <v>25</v>
      </c>
      <c r="H379" s="98">
        <v>46268</v>
      </c>
      <c r="I379" s="85">
        <v>310000</v>
      </c>
      <c r="J379" s="96">
        <v>2</v>
      </c>
      <c r="K379" s="106">
        <v>81</v>
      </c>
      <c r="L379" s="94" t="str" cm="1">
        <f t="array" ref="L379">_xlfn.IFS(J379&lt;2,"Fresher",J379&lt;=3,"Mid Level",J379&gt;3,"Experienced")</f>
        <v>Mid Level</v>
      </c>
      <c r="M379" s="90" t="str" cm="1">
        <f t="array" ref="M379">_xlfn.IFS(I379&gt;=600000,"High",I379&gt;=450000,"Medium",I379&lt;450000,"Low")</f>
        <v>Low</v>
      </c>
      <c r="N379" s="94">
        <f t="shared" si="20"/>
        <v>0.02</v>
      </c>
      <c r="O379" s="92" t="str">
        <f t="shared" si="21"/>
        <v>Unique</v>
      </c>
      <c r="P379" s="94">
        <f t="shared" si="19"/>
        <v>9</v>
      </c>
    </row>
    <row r="380" spans="1:16">
      <c r="A380" s="115">
        <v>3101378</v>
      </c>
      <c r="B380" s="85" t="s">
        <v>279</v>
      </c>
      <c r="C380" s="96" t="s">
        <v>268</v>
      </c>
      <c r="D380" s="85" t="s">
        <v>32</v>
      </c>
      <c r="E380" s="96" t="s">
        <v>300</v>
      </c>
      <c r="F380" s="96" t="s">
        <v>14</v>
      </c>
      <c r="G380" s="85" t="s">
        <v>21</v>
      </c>
      <c r="H380" s="98">
        <v>46179</v>
      </c>
      <c r="I380" s="85">
        <v>390000</v>
      </c>
      <c r="J380" s="96">
        <v>3</v>
      </c>
      <c r="K380" s="106">
        <v>94</v>
      </c>
      <c r="L380" s="94" t="str" cm="1">
        <f t="array" ref="L380">_xlfn.IFS(J380&lt;2,"Fresher",J380&lt;=3,"Mid Level",J380&gt;3,"Experienced")</f>
        <v>Mid Level</v>
      </c>
      <c r="M380" s="90" t="str" cm="1">
        <f t="array" ref="M380">_xlfn.IFS(I380&gt;=600000,"High",I380&gt;=450000,"Medium",I380&lt;450000,"Low")</f>
        <v>Low</v>
      </c>
      <c r="N380" s="94">
        <f t="shared" si="20"/>
        <v>0.02</v>
      </c>
      <c r="O380" s="92" t="str">
        <f t="shared" si="21"/>
        <v>Unique</v>
      </c>
      <c r="P380" s="94">
        <f t="shared" si="19"/>
        <v>6</v>
      </c>
    </row>
    <row r="381" spans="1:16">
      <c r="A381" s="115">
        <v>3101379</v>
      </c>
      <c r="B381" s="85" t="s">
        <v>276</v>
      </c>
      <c r="C381" s="96" t="s">
        <v>260</v>
      </c>
      <c r="D381" s="85" t="s">
        <v>18</v>
      </c>
      <c r="E381" s="96" t="s">
        <v>39</v>
      </c>
      <c r="F381" s="96" t="s">
        <v>24</v>
      </c>
      <c r="G381" s="85" t="s">
        <v>15</v>
      </c>
      <c r="H381" s="98">
        <v>46259</v>
      </c>
      <c r="I381" s="85">
        <v>325000</v>
      </c>
      <c r="J381" s="96">
        <v>5</v>
      </c>
      <c r="K381" s="106">
        <v>77</v>
      </c>
      <c r="L381" s="94" t="str" cm="1">
        <f t="array" ref="L381">_xlfn.IFS(J381&lt;2,"Fresher",J381&lt;=3,"Mid Level",J381&gt;3,"Experienced")</f>
        <v>Experienced</v>
      </c>
      <c r="M381" s="90" t="str" cm="1">
        <f t="array" ref="M381">_xlfn.IFS(I381&gt;=600000,"High",I381&gt;=450000,"Medium",I381&lt;450000,"Low")</f>
        <v>Low</v>
      </c>
      <c r="N381" s="94">
        <f t="shared" si="20"/>
        <v>0.02</v>
      </c>
      <c r="O381" s="92" t="str">
        <f t="shared" si="21"/>
        <v>Unique</v>
      </c>
      <c r="P381" s="94">
        <f t="shared" si="19"/>
        <v>8</v>
      </c>
    </row>
    <row r="382" spans="1:16">
      <c r="A382" s="115">
        <v>3101380</v>
      </c>
      <c r="B382" s="85" t="s">
        <v>296</v>
      </c>
      <c r="C382" s="96" t="s">
        <v>268</v>
      </c>
      <c r="D382" s="85" t="s">
        <v>12</v>
      </c>
      <c r="E382" s="96" t="s">
        <v>261</v>
      </c>
      <c r="F382" s="96" t="s">
        <v>34</v>
      </c>
      <c r="G382" s="85" t="s">
        <v>25</v>
      </c>
      <c r="H382" s="98">
        <v>46291</v>
      </c>
      <c r="I382" s="85">
        <v>685000</v>
      </c>
      <c r="J382" s="96">
        <v>5</v>
      </c>
      <c r="K382" s="106">
        <v>72</v>
      </c>
      <c r="L382" s="94" t="str" cm="1">
        <f t="array" ref="L382">_xlfn.IFS(J382&lt;2,"Fresher",J382&lt;=3,"Mid Level",J382&gt;3,"Experienced")</f>
        <v>Experienced</v>
      </c>
      <c r="M382" s="90" t="str" cm="1">
        <f t="array" ref="M382">_xlfn.IFS(I382&gt;=600000,"High",I382&gt;=450000,"Medium",I382&lt;450000,"Low")</f>
        <v>High</v>
      </c>
      <c r="N382" s="94">
        <f t="shared" si="20"/>
        <v>0.01</v>
      </c>
      <c r="O382" s="92" t="str">
        <f t="shared" si="21"/>
        <v>Unique</v>
      </c>
      <c r="P382" s="94">
        <f t="shared" si="19"/>
        <v>9</v>
      </c>
    </row>
    <row r="383" spans="1:16">
      <c r="A383" s="115">
        <v>3101381</v>
      </c>
      <c r="B383" s="85" t="s">
        <v>275</v>
      </c>
      <c r="C383" s="96" t="s">
        <v>260</v>
      </c>
      <c r="D383" s="85" t="s">
        <v>32</v>
      </c>
      <c r="E383" s="96" t="s">
        <v>300</v>
      </c>
      <c r="F383" s="96" t="s">
        <v>34</v>
      </c>
      <c r="G383" s="85" t="s">
        <v>15</v>
      </c>
      <c r="H383" s="98">
        <v>46187</v>
      </c>
      <c r="I383" s="85">
        <v>330000</v>
      </c>
      <c r="J383" s="96">
        <v>5</v>
      </c>
      <c r="K383" s="106">
        <v>90</v>
      </c>
      <c r="L383" s="94" t="str" cm="1">
        <f t="array" ref="L383">_xlfn.IFS(J383&lt;2,"Fresher",J383&lt;=3,"Mid Level",J383&gt;3,"Experienced")</f>
        <v>Experienced</v>
      </c>
      <c r="M383" s="90" t="str" cm="1">
        <f t="array" ref="M383">_xlfn.IFS(I383&gt;=600000,"High",I383&gt;=450000,"Medium",I383&lt;450000,"Low")</f>
        <v>Low</v>
      </c>
      <c r="N383" s="94">
        <f t="shared" si="20"/>
        <v>0.01</v>
      </c>
      <c r="O383" s="92" t="str">
        <f t="shared" si="21"/>
        <v>Unique</v>
      </c>
      <c r="P383" s="94">
        <f t="shared" si="19"/>
        <v>6</v>
      </c>
    </row>
    <row r="384" spans="1:16">
      <c r="A384" s="115">
        <v>3101382</v>
      </c>
      <c r="B384" s="85" t="s">
        <v>277</v>
      </c>
      <c r="C384" s="96" t="s">
        <v>260</v>
      </c>
      <c r="D384" s="85" t="s">
        <v>12</v>
      </c>
      <c r="E384" s="96" t="s">
        <v>265</v>
      </c>
      <c r="F384" s="96" t="s">
        <v>34</v>
      </c>
      <c r="G384" s="85" t="s">
        <v>15</v>
      </c>
      <c r="H384" s="98">
        <v>46292</v>
      </c>
      <c r="I384" s="85">
        <v>670000</v>
      </c>
      <c r="J384" s="96">
        <v>3</v>
      </c>
      <c r="K384" s="106">
        <v>74</v>
      </c>
      <c r="L384" s="94" t="str" cm="1">
        <f t="array" ref="L384">_xlfn.IFS(J384&lt;2,"Fresher",J384&lt;=3,"Mid Level",J384&gt;3,"Experienced")</f>
        <v>Mid Level</v>
      </c>
      <c r="M384" s="90" t="str" cm="1">
        <f t="array" ref="M384">_xlfn.IFS(I384&gt;=600000,"High",I384&gt;=450000,"Medium",I384&lt;450000,"Low")</f>
        <v>High</v>
      </c>
      <c r="N384" s="94">
        <f t="shared" si="20"/>
        <v>0.01</v>
      </c>
      <c r="O384" s="92" t="str">
        <f t="shared" si="21"/>
        <v>Unique</v>
      </c>
      <c r="P384" s="94">
        <f t="shared" si="19"/>
        <v>9</v>
      </c>
    </row>
    <row r="385" spans="1:16">
      <c r="A385" s="115">
        <v>3101383</v>
      </c>
      <c r="B385" s="85" t="s">
        <v>266</v>
      </c>
      <c r="C385" s="96" t="s">
        <v>260</v>
      </c>
      <c r="D385" s="85" t="s">
        <v>12</v>
      </c>
      <c r="E385" s="96" t="s">
        <v>265</v>
      </c>
      <c r="F385" s="96" t="s">
        <v>34</v>
      </c>
      <c r="G385" s="85" t="s">
        <v>15</v>
      </c>
      <c r="H385" s="98">
        <v>46167</v>
      </c>
      <c r="I385" s="85">
        <v>495000</v>
      </c>
      <c r="J385" s="96">
        <v>3</v>
      </c>
      <c r="K385" s="106">
        <v>85</v>
      </c>
      <c r="L385" s="94" t="str" cm="1">
        <f t="array" ref="L385">_xlfn.IFS(J385&lt;2,"Fresher",J385&lt;=3,"Mid Level",J385&gt;3,"Experienced")</f>
        <v>Mid Level</v>
      </c>
      <c r="M385" s="90" t="str" cm="1">
        <f t="array" ref="M385">_xlfn.IFS(I385&gt;=600000,"High",I385&gt;=450000,"Medium",I385&lt;450000,"Low")</f>
        <v>Medium</v>
      </c>
      <c r="N385" s="94">
        <f t="shared" si="20"/>
        <v>0.01</v>
      </c>
      <c r="O385" s="92" t="str">
        <f t="shared" si="21"/>
        <v>Unique</v>
      </c>
      <c r="P385" s="94">
        <f t="shared" si="19"/>
        <v>5</v>
      </c>
    </row>
    <row r="386" spans="1:16">
      <c r="A386" s="115">
        <v>3101384</v>
      </c>
      <c r="B386" s="85" t="s">
        <v>305</v>
      </c>
      <c r="C386" s="96" t="s">
        <v>258</v>
      </c>
      <c r="D386" s="85" t="s">
        <v>18</v>
      </c>
      <c r="E386" s="96" t="s">
        <v>19</v>
      </c>
      <c r="F386" s="96" t="s">
        <v>24</v>
      </c>
      <c r="G386" s="85" t="s">
        <v>25</v>
      </c>
      <c r="H386" s="98">
        <v>46231</v>
      </c>
      <c r="I386" s="85">
        <v>460000</v>
      </c>
      <c r="J386" s="96">
        <v>3</v>
      </c>
      <c r="K386" s="106">
        <v>94</v>
      </c>
      <c r="L386" s="94" t="str" cm="1">
        <f t="array" ref="L386">_xlfn.IFS(J386&lt;2,"Fresher",J386&lt;=3,"Mid Level",J386&gt;3,"Experienced")</f>
        <v>Mid Level</v>
      </c>
      <c r="M386" s="90" t="str" cm="1">
        <f t="array" ref="M386">_xlfn.IFS(I386&gt;=600000,"High",I386&gt;=450000,"Medium",I386&lt;450000,"Low")</f>
        <v>Medium</v>
      </c>
      <c r="N386" s="94">
        <f t="shared" si="20"/>
        <v>0.02</v>
      </c>
      <c r="O386" s="92" t="str">
        <f t="shared" si="21"/>
        <v>Unique</v>
      </c>
      <c r="P386" s="94">
        <f t="shared" si="19"/>
        <v>7</v>
      </c>
    </row>
    <row r="387" spans="1:16">
      <c r="A387" s="115">
        <v>3101385</v>
      </c>
      <c r="B387" s="85" t="s">
        <v>100</v>
      </c>
      <c r="C387" s="96" t="s">
        <v>258</v>
      </c>
      <c r="D387" s="85" t="s">
        <v>12</v>
      </c>
      <c r="E387" s="96" t="s">
        <v>36</v>
      </c>
      <c r="F387" s="96" t="s">
        <v>14</v>
      </c>
      <c r="G387" s="85" t="s">
        <v>256</v>
      </c>
      <c r="H387" s="98">
        <v>46211</v>
      </c>
      <c r="I387" s="85">
        <v>570000</v>
      </c>
      <c r="J387" s="96">
        <v>4</v>
      </c>
      <c r="K387" s="106">
        <v>68</v>
      </c>
      <c r="L387" s="94" t="str" cm="1">
        <f t="array" ref="L387">_xlfn.IFS(J387&lt;2,"Fresher",J387&lt;=3,"Mid Level",J387&gt;3,"Experienced")</f>
        <v>Experienced</v>
      </c>
      <c r="M387" s="90" t="str" cm="1">
        <f t="array" ref="M387">_xlfn.IFS(I387&gt;=600000,"High",I387&gt;=450000,"Medium",I387&lt;450000,"Low")</f>
        <v>Medium</v>
      </c>
      <c r="N387" s="94">
        <f t="shared" si="20"/>
        <v>0.02</v>
      </c>
      <c r="O387" s="92" t="str">
        <f t="shared" si="21"/>
        <v>Unique</v>
      </c>
      <c r="P387" s="94">
        <f t="shared" ref="P387:P450" si="22">MONTH(H387)</f>
        <v>7</v>
      </c>
    </row>
    <row r="388" spans="1:16">
      <c r="A388" s="115">
        <v>3101386</v>
      </c>
      <c r="B388" s="85" t="s">
        <v>308</v>
      </c>
      <c r="C388" s="96" t="s">
        <v>38</v>
      </c>
      <c r="D388" s="85" t="s">
        <v>12</v>
      </c>
      <c r="E388" s="96" t="s">
        <v>303</v>
      </c>
      <c r="F388" s="96" t="s">
        <v>24</v>
      </c>
      <c r="G388" s="85" t="s">
        <v>21</v>
      </c>
      <c r="H388" s="98">
        <v>46276</v>
      </c>
      <c r="I388" s="85">
        <v>730000</v>
      </c>
      <c r="J388" s="96">
        <v>3</v>
      </c>
      <c r="K388" s="106">
        <v>87</v>
      </c>
      <c r="L388" s="94" t="str" cm="1">
        <f t="array" ref="L388">_xlfn.IFS(J388&lt;2,"Fresher",J388&lt;=3,"Mid Level",J388&gt;3,"Experienced")</f>
        <v>Mid Level</v>
      </c>
      <c r="M388" s="90" t="str" cm="1">
        <f t="array" ref="M388">_xlfn.IFS(I388&gt;=600000,"High",I388&gt;=450000,"Medium",I388&lt;450000,"Low")</f>
        <v>High</v>
      </c>
      <c r="N388" s="94">
        <f t="shared" ref="N388:N451" si="23">IF(F388="Naukri",2%,IF(F388="LinkedIn",2%,IF(F388="Employee Referral",5%,1%)))</f>
        <v>0.02</v>
      </c>
      <c r="O388" s="92" t="str">
        <f t="shared" ref="O388:O451" si="24">IF(COUNTIF($A$2:$A$478,A388)&gt;1,"Duplicate","Unique")</f>
        <v>Unique</v>
      </c>
      <c r="P388" s="94">
        <f t="shared" si="22"/>
        <v>9</v>
      </c>
    </row>
    <row r="389" spans="1:16">
      <c r="A389" s="115">
        <v>3101387</v>
      </c>
      <c r="B389" s="85" t="s">
        <v>48</v>
      </c>
      <c r="C389" s="96" t="s">
        <v>11</v>
      </c>
      <c r="D389" s="85" t="s">
        <v>12</v>
      </c>
      <c r="E389" s="96" t="s">
        <v>13</v>
      </c>
      <c r="F389" s="96" t="s">
        <v>34</v>
      </c>
      <c r="G389" s="85" t="s">
        <v>15</v>
      </c>
      <c r="H389" s="98">
        <v>46270</v>
      </c>
      <c r="I389" s="85">
        <v>640000</v>
      </c>
      <c r="J389" s="96">
        <v>5</v>
      </c>
      <c r="K389" s="106">
        <v>82</v>
      </c>
      <c r="L389" s="94" t="str" cm="1">
        <f t="array" ref="L389">_xlfn.IFS(J389&lt;2,"Fresher",J389&lt;=3,"Mid Level",J389&gt;3,"Experienced")</f>
        <v>Experienced</v>
      </c>
      <c r="M389" s="90" t="str" cm="1">
        <f t="array" ref="M389">_xlfn.IFS(I389&gt;=600000,"High",I389&gt;=450000,"Medium",I389&lt;450000,"Low")</f>
        <v>High</v>
      </c>
      <c r="N389" s="94">
        <f t="shared" si="23"/>
        <v>0.01</v>
      </c>
      <c r="O389" s="92" t="str">
        <f t="shared" si="24"/>
        <v>Unique</v>
      </c>
      <c r="P389" s="94">
        <f t="shared" si="22"/>
        <v>9</v>
      </c>
    </row>
    <row r="390" spans="1:16">
      <c r="A390" s="115">
        <v>3101388</v>
      </c>
      <c r="B390" s="85" t="s">
        <v>299</v>
      </c>
      <c r="C390" s="96" t="s">
        <v>264</v>
      </c>
      <c r="D390" s="85" t="s">
        <v>28</v>
      </c>
      <c r="E390" s="96" t="s">
        <v>297</v>
      </c>
      <c r="F390" s="96" t="s">
        <v>34</v>
      </c>
      <c r="G390" s="85" t="s">
        <v>21</v>
      </c>
      <c r="H390" s="98">
        <v>46268</v>
      </c>
      <c r="I390" s="85">
        <v>405000</v>
      </c>
      <c r="J390" s="96">
        <v>4</v>
      </c>
      <c r="K390" s="106">
        <v>76</v>
      </c>
      <c r="L390" s="94" t="str" cm="1">
        <f t="array" ref="L390">_xlfn.IFS(J390&lt;2,"Fresher",J390&lt;=3,"Mid Level",J390&gt;3,"Experienced")</f>
        <v>Experienced</v>
      </c>
      <c r="M390" s="90" t="str" cm="1">
        <f t="array" ref="M390">_xlfn.IFS(I390&gt;=600000,"High",I390&gt;=450000,"Medium",I390&lt;450000,"Low")</f>
        <v>Low</v>
      </c>
      <c r="N390" s="94">
        <f t="shared" si="23"/>
        <v>0.01</v>
      </c>
      <c r="O390" s="92" t="str">
        <f t="shared" si="24"/>
        <v>Unique</v>
      </c>
      <c r="P390" s="94">
        <f t="shared" si="22"/>
        <v>9</v>
      </c>
    </row>
    <row r="391" spans="1:16">
      <c r="A391" s="115">
        <v>3101389</v>
      </c>
      <c r="B391" s="85" t="s">
        <v>274</v>
      </c>
      <c r="C391" s="96" t="s">
        <v>17</v>
      </c>
      <c r="D391" s="85" t="s">
        <v>12</v>
      </c>
      <c r="E391" s="96" t="s">
        <v>13</v>
      </c>
      <c r="F391" s="96" t="s">
        <v>14</v>
      </c>
      <c r="G391" s="85" t="s">
        <v>15</v>
      </c>
      <c r="H391" s="98">
        <v>46196</v>
      </c>
      <c r="I391" s="85">
        <v>390000</v>
      </c>
      <c r="J391" s="96">
        <v>1</v>
      </c>
      <c r="K391" s="106">
        <v>88</v>
      </c>
      <c r="L391" s="94" t="str" cm="1">
        <f t="array" ref="L391">_xlfn.IFS(J391&lt;2,"Fresher",J391&lt;=3,"Mid Level",J391&gt;3,"Experienced")</f>
        <v>Fresher</v>
      </c>
      <c r="M391" s="90" t="str" cm="1">
        <f t="array" ref="M391">_xlfn.IFS(I391&gt;=600000,"High",I391&gt;=450000,"Medium",I391&lt;450000,"Low")</f>
        <v>Low</v>
      </c>
      <c r="N391" s="94">
        <f t="shared" si="23"/>
        <v>0.02</v>
      </c>
      <c r="O391" s="92" t="str">
        <f t="shared" si="24"/>
        <v>Unique</v>
      </c>
      <c r="P391" s="94">
        <f t="shared" si="22"/>
        <v>6</v>
      </c>
    </row>
    <row r="392" spans="1:16">
      <c r="A392" s="115">
        <v>3101390</v>
      </c>
      <c r="B392" s="85" t="s">
        <v>174</v>
      </c>
      <c r="C392" s="96" t="s">
        <v>11</v>
      </c>
      <c r="D392" s="85" t="s">
        <v>28</v>
      </c>
      <c r="E392" s="96" t="s">
        <v>29</v>
      </c>
      <c r="F392" s="96" t="s">
        <v>34</v>
      </c>
      <c r="G392" s="85" t="s">
        <v>25</v>
      </c>
      <c r="H392" s="98">
        <v>46272</v>
      </c>
      <c r="I392" s="85">
        <v>325000</v>
      </c>
      <c r="J392" s="96">
        <v>3</v>
      </c>
      <c r="K392" s="106">
        <v>91</v>
      </c>
      <c r="L392" s="94" t="str" cm="1">
        <f t="array" ref="L392">_xlfn.IFS(J392&lt;2,"Fresher",J392&lt;=3,"Mid Level",J392&gt;3,"Experienced")</f>
        <v>Mid Level</v>
      </c>
      <c r="M392" s="90" t="str" cm="1">
        <f t="array" ref="M392">_xlfn.IFS(I392&gt;=600000,"High",I392&gt;=450000,"Medium",I392&lt;450000,"Low")</f>
        <v>Low</v>
      </c>
      <c r="N392" s="94">
        <f t="shared" si="23"/>
        <v>0.01</v>
      </c>
      <c r="O392" s="92" t="str">
        <f t="shared" si="24"/>
        <v>Unique</v>
      </c>
      <c r="P392" s="94">
        <f t="shared" si="22"/>
        <v>9</v>
      </c>
    </row>
    <row r="393" spans="1:16">
      <c r="A393" s="115">
        <v>3101391</v>
      </c>
      <c r="B393" s="85" t="s">
        <v>275</v>
      </c>
      <c r="C393" s="96" t="s">
        <v>38</v>
      </c>
      <c r="D393" s="85" t="s">
        <v>28</v>
      </c>
      <c r="E393" s="96" t="s">
        <v>297</v>
      </c>
      <c r="F393" s="96" t="s">
        <v>20</v>
      </c>
      <c r="G393" s="85" t="s">
        <v>15</v>
      </c>
      <c r="H393" s="98">
        <v>46281</v>
      </c>
      <c r="I393" s="85">
        <v>535000</v>
      </c>
      <c r="J393" s="96">
        <v>5</v>
      </c>
      <c r="K393" s="106">
        <v>69</v>
      </c>
      <c r="L393" s="94" t="str" cm="1">
        <f t="array" ref="L393">_xlfn.IFS(J393&lt;2,"Fresher",J393&lt;=3,"Mid Level",J393&gt;3,"Experienced")</f>
        <v>Experienced</v>
      </c>
      <c r="M393" s="90" t="str" cm="1">
        <f t="array" ref="M393">_xlfn.IFS(I393&gt;=600000,"High",I393&gt;=450000,"Medium",I393&lt;450000,"Low")</f>
        <v>Medium</v>
      </c>
      <c r="N393" s="94">
        <f t="shared" si="23"/>
        <v>0.05</v>
      </c>
      <c r="O393" s="92" t="str">
        <f t="shared" si="24"/>
        <v>Unique</v>
      </c>
      <c r="P393" s="94">
        <f t="shared" si="22"/>
        <v>9</v>
      </c>
    </row>
    <row r="394" spans="1:16">
      <c r="A394" s="115">
        <v>3101392</v>
      </c>
      <c r="B394" s="85" t="s">
        <v>44</v>
      </c>
      <c r="C394" s="96" t="s">
        <v>11</v>
      </c>
      <c r="D394" s="85" t="s">
        <v>32</v>
      </c>
      <c r="E394" s="96" t="s">
        <v>300</v>
      </c>
      <c r="F394" s="96" t="s">
        <v>34</v>
      </c>
      <c r="G394" s="85" t="s">
        <v>21</v>
      </c>
      <c r="H394" s="98">
        <v>46208</v>
      </c>
      <c r="I394" s="85">
        <v>425000</v>
      </c>
      <c r="J394" s="96">
        <v>1</v>
      </c>
      <c r="K394" s="106">
        <v>95</v>
      </c>
      <c r="L394" s="94" t="str" cm="1">
        <f t="array" ref="L394">_xlfn.IFS(J394&lt;2,"Fresher",J394&lt;=3,"Mid Level",J394&gt;3,"Experienced")</f>
        <v>Fresher</v>
      </c>
      <c r="M394" s="90" t="str" cm="1">
        <f t="array" ref="M394">_xlfn.IFS(I394&gt;=600000,"High",I394&gt;=450000,"Medium",I394&lt;450000,"Low")</f>
        <v>Low</v>
      </c>
      <c r="N394" s="94">
        <f t="shared" si="23"/>
        <v>0.01</v>
      </c>
      <c r="O394" s="92" t="str">
        <f t="shared" si="24"/>
        <v>Unique</v>
      </c>
      <c r="P394" s="94">
        <f t="shared" si="22"/>
        <v>7</v>
      </c>
    </row>
    <row r="395" spans="1:16">
      <c r="A395" s="115">
        <v>3101393</v>
      </c>
      <c r="B395" s="85" t="s">
        <v>98</v>
      </c>
      <c r="C395" s="96" t="s">
        <v>258</v>
      </c>
      <c r="D395" s="85" t="s">
        <v>12</v>
      </c>
      <c r="E395" s="96" t="s">
        <v>23</v>
      </c>
      <c r="F395" s="96" t="s">
        <v>14</v>
      </c>
      <c r="G395" s="85" t="s">
        <v>21</v>
      </c>
      <c r="H395" s="98">
        <v>46224</v>
      </c>
      <c r="I395" s="85">
        <v>540000</v>
      </c>
      <c r="J395" s="96">
        <v>1</v>
      </c>
      <c r="K395" s="106">
        <v>73</v>
      </c>
      <c r="L395" s="94" t="str" cm="1">
        <f t="array" ref="L395">_xlfn.IFS(J395&lt;2,"Fresher",J395&lt;=3,"Mid Level",J395&gt;3,"Experienced")</f>
        <v>Fresher</v>
      </c>
      <c r="M395" s="90" t="str" cm="1">
        <f t="array" ref="M395">_xlfn.IFS(I395&gt;=600000,"High",I395&gt;=450000,"Medium",I395&lt;450000,"Low")</f>
        <v>Medium</v>
      </c>
      <c r="N395" s="94">
        <f t="shared" si="23"/>
        <v>0.02</v>
      </c>
      <c r="O395" s="92" t="str">
        <f t="shared" si="24"/>
        <v>Unique</v>
      </c>
      <c r="P395" s="94">
        <f t="shared" si="22"/>
        <v>7</v>
      </c>
    </row>
    <row r="396" spans="1:16">
      <c r="A396" s="115">
        <v>3101394</v>
      </c>
      <c r="B396" s="85" t="s">
        <v>302</v>
      </c>
      <c r="C396" s="96" t="s">
        <v>258</v>
      </c>
      <c r="D396" s="85" t="s">
        <v>12</v>
      </c>
      <c r="E396" s="96" t="s">
        <v>13</v>
      </c>
      <c r="F396" s="96" t="s">
        <v>14</v>
      </c>
      <c r="G396" s="85" t="s">
        <v>256</v>
      </c>
      <c r="H396" s="98">
        <v>46186</v>
      </c>
      <c r="I396" s="85">
        <v>435000</v>
      </c>
      <c r="J396" s="96">
        <v>0</v>
      </c>
      <c r="K396" s="106">
        <v>84</v>
      </c>
      <c r="L396" s="94" t="str" cm="1">
        <f t="array" ref="L396">_xlfn.IFS(J396&lt;2,"Fresher",J396&lt;=3,"Mid Level",J396&gt;3,"Experienced")</f>
        <v>Fresher</v>
      </c>
      <c r="M396" s="90" t="str" cm="1">
        <f t="array" ref="M396">_xlfn.IFS(I396&gt;=600000,"High",I396&gt;=450000,"Medium",I396&lt;450000,"Low")</f>
        <v>Low</v>
      </c>
      <c r="N396" s="94">
        <f t="shared" si="23"/>
        <v>0.02</v>
      </c>
      <c r="O396" s="92" t="str">
        <f t="shared" si="24"/>
        <v>Unique</v>
      </c>
      <c r="P396" s="94">
        <f t="shared" si="22"/>
        <v>6</v>
      </c>
    </row>
    <row r="397" spans="1:16">
      <c r="A397" s="115">
        <v>3101395</v>
      </c>
      <c r="B397" s="85" t="s">
        <v>294</v>
      </c>
      <c r="C397" s="96" t="s">
        <v>258</v>
      </c>
      <c r="D397" s="85" t="s">
        <v>28</v>
      </c>
      <c r="E397" s="96" t="s">
        <v>29</v>
      </c>
      <c r="F397" s="96" t="s">
        <v>20</v>
      </c>
      <c r="G397" s="85" t="s">
        <v>15</v>
      </c>
      <c r="H397" s="98">
        <v>46147</v>
      </c>
      <c r="I397" s="85">
        <v>400000</v>
      </c>
      <c r="J397" s="96">
        <v>5</v>
      </c>
      <c r="K397" s="106">
        <v>79</v>
      </c>
      <c r="L397" s="94" t="str" cm="1">
        <f t="array" ref="L397">_xlfn.IFS(J397&lt;2,"Fresher",J397&lt;=3,"Mid Level",J397&gt;3,"Experienced")</f>
        <v>Experienced</v>
      </c>
      <c r="M397" s="90" t="str" cm="1">
        <f t="array" ref="M397">_xlfn.IFS(I397&gt;=600000,"High",I397&gt;=450000,"Medium",I397&lt;450000,"Low")</f>
        <v>Low</v>
      </c>
      <c r="N397" s="94">
        <f t="shared" si="23"/>
        <v>0.05</v>
      </c>
      <c r="O397" s="92" t="str">
        <f t="shared" si="24"/>
        <v>Unique</v>
      </c>
      <c r="P397" s="94">
        <f t="shared" si="22"/>
        <v>5</v>
      </c>
    </row>
    <row r="398" spans="1:16">
      <c r="A398" s="115">
        <v>3101396</v>
      </c>
      <c r="B398" s="85" t="s">
        <v>270</v>
      </c>
      <c r="C398" s="96" t="s">
        <v>38</v>
      </c>
      <c r="D398" s="85" t="s">
        <v>32</v>
      </c>
      <c r="E398" s="96" t="s">
        <v>300</v>
      </c>
      <c r="F398" s="96" t="s">
        <v>24</v>
      </c>
      <c r="G398" s="85" t="s">
        <v>25</v>
      </c>
      <c r="H398" s="98">
        <v>46229</v>
      </c>
      <c r="I398" s="85">
        <v>355000</v>
      </c>
      <c r="J398" s="96">
        <v>0</v>
      </c>
      <c r="K398" s="106">
        <v>71</v>
      </c>
      <c r="L398" s="94" t="str" cm="1">
        <f t="array" ref="L398">_xlfn.IFS(J398&lt;2,"Fresher",J398&lt;=3,"Mid Level",J398&gt;3,"Experienced")</f>
        <v>Fresher</v>
      </c>
      <c r="M398" s="90" t="str" cm="1">
        <f t="array" ref="M398">_xlfn.IFS(I398&gt;=600000,"High",I398&gt;=450000,"Medium",I398&lt;450000,"Low")</f>
        <v>Low</v>
      </c>
      <c r="N398" s="94">
        <f t="shared" si="23"/>
        <v>0.02</v>
      </c>
      <c r="O398" s="92" t="str">
        <f t="shared" si="24"/>
        <v>Unique</v>
      </c>
      <c r="P398" s="94">
        <f t="shared" si="22"/>
        <v>7</v>
      </c>
    </row>
    <row r="399" spans="1:16">
      <c r="A399" s="115">
        <v>3101397</v>
      </c>
      <c r="B399" s="85" t="s">
        <v>294</v>
      </c>
      <c r="C399" s="96" t="s">
        <v>17</v>
      </c>
      <c r="D399" s="85" t="s">
        <v>12</v>
      </c>
      <c r="E399" s="96" t="s">
        <v>261</v>
      </c>
      <c r="F399" s="96" t="s">
        <v>20</v>
      </c>
      <c r="G399" s="85" t="s">
        <v>21</v>
      </c>
      <c r="H399" s="98">
        <v>46251</v>
      </c>
      <c r="I399" s="85">
        <v>460000</v>
      </c>
      <c r="J399" s="96">
        <v>0</v>
      </c>
      <c r="K399" s="106">
        <v>89</v>
      </c>
      <c r="L399" s="94" t="str" cm="1">
        <f t="array" ref="L399">_xlfn.IFS(J399&lt;2,"Fresher",J399&lt;=3,"Mid Level",J399&gt;3,"Experienced")</f>
        <v>Fresher</v>
      </c>
      <c r="M399" s="90" t="str" cm="1">
        <f t="array" ref="M399">_xlfn.IFS(I399&gt;=600000,"High",I399&gt;=450000,"Medium",I399&lt;450000,"Low")</f>
        <v>Medium</v>
      </c>
      <c r="N399" s="94">
        <f t="shared" si="23"/>
        <v>0.05</v>
      </c>
      <c r="O399" s="92" t="str">
        <f t="shared" si="24"/>
        <v>Unique</v>
      </c>
      <c r="P399" s="94">
        <f t="shared" si="22"/>
        <v>8</v>
      </c>
    </row>
    <row r="400" spans="1:16">
      <c r="A400" s="115">
        <v>3101398</v>
      </c>
      <c r="B400" s="85" t="s">
        <v>314</v>
      </c>
      <c r="C400" s="96" t="s">
        <v>264</v>
      </c>
      <c r="D400" s="85" t="s">
        <v>32</v>
      </c>
      <c r="E400" s="96" t="s">
        <v>300</v>
      </c>
      <c r="F400" s="96" t="s">
        <v>24</v>
      </c>
      <c r="G400" s="85" t="s">
        <v>21</v>
      </c>
      <c r="H400" s="98">
        <v>46167</v>
      </c>
      <c r="I400" s="85">
        <v>385000</v>
      </c>
      <c r="J400" s="96">
        <v>1</v>
      </c>
      <c r="K400" s="106">
        <v>67</v>
      </c>
      <c r="L400" s="94" t="str" cm="1">
        <f t="array" ref="L400">_xlfn.IFS(J400&lt;2,"Fresher",J400&lt;=3,"Mid Level",J400&gt;3,"Experienced")</f>
        <v>Fresher</v>
      </c>
      <c r="M400" s="90" t="str" cm="1">
        <f t="array" ref="M400">_xlfn.IFS(I400&gt;=600000,"High",I400&gt;=450000,"Medium",I400&lt;450000,"Low")</f>
        <v>Low</v>
      </c>
      <c r="N400" s="94">
        <f t="shared" si="23"/>
        <v>0.02</v>
      </c>
      <c r="O400" s="92" t="str">
        <f t="shared" si="24"/>
        <v>Unique</v>
      </c>
      <c r="P400" s="94">
        <f t="shared" si="22"/>
        <v>5</v>
      </c>
    </row>
    <row r="401" spans="1:16">
      <c r="A401" s="115">
        <v>3101399</v>
      </c>
      <c r="B401" s="85" t="s">
        <v>100</v>
      </c>
      <c r="C401" s="96" t="s">
        <v>17</v>
      </c>
      <c r="D401" s="85" t="s">
        <v>12</v>
      </c>
      <c r="E401" s="96" t="s">
        <v>261</v>
      </c>
      <c r="F401" s="96" t="s">
        <v>20</v>
      </c>
      <c r="G401" s="85" t="s">
        <v>25</v>
      </c>
      <c r="H401" s="98">
        <v>46189</v>
      </c>
      <c r="I401" s="85">
        <v>485000</v>
      </c>
      <c r="J401" s="96">
        <v>0</v>
      </c>
      <c r="K401" s="106">
        <v>86</v>
      </c>
      <c r="L401" s="94" t="str" cm="1">
        <f t="array" ref="L401">_xlfn.IFS(J401&lt;2,"Fresher",J401&lt;=3,"Mid Level",J401&gt;3,"Experienced")</f>
        <v>Fresher</v>
      </c>
      <c r="M401" s="90" t="str" cm="1">
        <f t="array" ref="M401">_xlfn.IFS(I401&gt;=600000,"High",I401&gt;=450000,"Medium",I401&lt;450000,"Low")</f>
        <v>Medium</v>
      </c>
      <c r="N401" s="94">
        <f t="shared" si="23"/>
        <v>0.05</v>
      </c>
      <c r="O401" s="92" t="str">
        <f t="shared" si="24"/>
        <v>Unique</v>
      </c>
      <c r="P401" s="94">
        <f t="shared" si="22"/>
        <v>6</v>
      </c>
    </row>
    <row r="402" spans="1:16">
      <c r="A402" s="115">
        <v>3101400</v>
      </c>
      <c r="B402" s="85" t="s">
        <v>45</v>
      </c>
      <c r="C402" s="96" t="s">
        <v>264</v>
      </c>
      <c r="D402" s="85" t="s">
        <v>32</v>
      </c>
      <c r="E402" s="96" t="s">
        <v>33</v>
      </c>
      <c r="F402" s="96" t="s">
        <v>24</v>
      </c>
      <c r="G402" s="85" t="s">
        <v>25</v>
      </c>
      <c r="H402" s="98">
        <v>46266</v>
      </c>
      <c r="I402" s="85">
        <v>400000</v>
      </c>
      <c r="J402" s="96">
        <v>0</v>
      </c>
      <c r="K402" s="106">
        <v>92</v>
      </c>
      <c r="L402" s="94" t="str" cm="1">
        <f t="array" ref="L402">_xlfn.IFS(J402&lt;2,"Fresher",J402&lt;=3,"Mid Level",J402&gt;3,"Experienced")</f>
        <v>Fresher</v>
      </c>
      <c r="M402" s="90" t="str" cm="1">
        <f t="array" ref="M402">_xlfn.IFS(I402&gt;=600000,"High",I402&gt;=450000,"Medium",I402&lt;450000,"Low")</f>
        <v>Low</v>
      </c>
      <c r="N402" s="94">
        <f t="shared" si="23"/>
        <v>0.02</v>
      </c>
      <c r="O402" s="92" t="str">
        <f t="shared" si="24"/>
        <v>Unique</v>
      </c>
      <c r="P402" s="94">
        <f t="shared" si="22"/>
        <v>9</v>
      </c>
    </row>
    <row r="403" spans="1:16">
      <c r="A403" s="115">
        <v>3101401</v>
      </c>
      <c r="B403" s="85" t="s">
        <v>289</v>
      </c>
      <c r="C403" s="96" t="s">
        <v>38</v>
      </c>
      <c r="D403" s="85" t="s">
        <v>18</v>
      </c>
      <c r="E403" s="96" t="s">
        <v>39</v>
      </c>
      <c r="F403" s="96" t="s">
        <v>24</v>
      </c>
      <c r="G403" s="85" t="s">
        <v>21</v>
      </c>
      <c r="H403" s="98">
        <v>46172</v>
      </c>
      <c r="I403" s="85">
        <v>335000</v>
      </c>
      <c r="J403" s="96">
        <v>0</v>
      </c>
      <c r="K403" s="106">
        <v>69</v>
      </c>
      <c r="L403" s="94" t="str" cm="1">
        <f t="array" ref="L403">_xlfn.IFS(J403&lt;2,"Fresher",J403&lt;=3,"Mid Level",J403&gt;3,"Experienced")</f>
        <v>Fresher</v>
      </c>
      <c r="M403" s="90" t="str" cm="1">
        <f t="array" ref="M403">_xlfn.IFS(I403&gt;=600000,"High",I403&gt;=450000,"Medium",I403&lt;450000,"Low")</f>
        <v>Low</v>
      </c>
      <c r="N403" s="94">
        <f t="shared" si="23"/>
        <v>0.02</v>
      </c>
      <c r="O403" s="92" t="str">
        <f t="shared" si="24"/>
        <v>Unique</v>
      </c>
      <c r="P403" s="94">
        <f t="shared" si="22"/>
        <v>5</v>
      </c>
    </row>
    <row r="404" spans="1:16">
      <c r="A404" s="115">
        <v>3101402</v>
      </c>
      <c r="B404" s="85" t="s">
        <v>45</v>
      </c>
      <c r="C404" s="96" t="s">
        <v>260</v>
      </c>
      <c r="D404" s="85" t="s">
        <v>32</v>
      </c>
      <c r="E404" s="96" t="s">
        <v>300</v>
      </c>
      <c r="F404" s="96" t="s">
        <v>24</v>
      </c>
      <c r="G404" s="85" t="s">
        <v>256</v>
      </c>
      <c r="H404" s="98">
        <v>46222</v>
      </c>
      <c r="I404" s="85">
        <v>295000</v>
      </c>
      <c r="J404" s="96">
        <v>1</v>
      </c>
      <c r="K404" s="106">
        <v>81</v>
      </c>
      <c r="L404" s="94" t="str" cm="1">
        <f t="array" ref="L404">_xlfn.IFS(J404&lt;2,"Fresher",J404&lt;=3,"Mid Level",J404&gt;3,"Experienced")</f>
        <v>Fresher</v>
      </c>
      <c r="M404" s="90" t="str" cm="1">
        <f t="array" ref="M404">_xlfn.IFS(I404&gt;=600000,"High",I404&gt;=450000,"Medium",I404&lt;450000,"Low")</f>
        <v>Low</v>
      </c>
      <c r="N404" s="94">
        <f t="shared" si="23"/>
        <v>0.02</v>
      </c>
      <c r="O404" s="92" t="str">
        <f t="shared" si="24"/>
        <v>Unique</v>
      </c>
      <c r="P404" s="94">
        <f t="shared" si="22"/>
        <v>7</v>
      </c>
    </row>
    <row r="405" spans="1:16">
      <c r="A405" s="115">
        <v>3101403</v>
      </c>
      <c r="B405" s="85" t="s">
        <v>271</v>
      </c>
      <c r="C405" s="96" t="s">
        <v>38</v>
      </c>
      <c r="D405" s="85" t="s">
        <v>12</v>
      </c>
      <c r="E405" s="96" t="s">
        <v>23</v>
      </c>
      <c r="F405" s="96" t="s">
        <v>24</v>
      </c>
      <c r="G405" s="85" t="s">
        <v>21</v>
      </c>
      <c r="H405" s="98">
        <v>46265</v>
      </c>
      <c r="I405" s="85">
        <v>720000</v>
      </c>
      <c r="J405" s="96">
        <v>5</v>
      </c>
      <c r="K405" s="106">
        <v>94</v>
      </c>
      <c r="L405" s="94" t="str" cm="1">
        <f t="array" ref="L405">_xlfn.IFS(J405&lt;2,"Fresher",J405&lt;=3,"Mid Level",J405&gt;3,"Experienced")</f>
        <v>Experienced</v>
      </c>
      <c r="M405" s="90" t="str" cm="1">
        <f t="array" ref="M405">_xlfn.IFS(I405&gt;=600000,"High",I405&gt;=450000,"Medium",I405&lt;450000,"Low")</f>
        <v>High</v>
      </c>
      <c r="N405" s="94">
        <f t="shared" si="23"/>
        <v>0.02</v>
      </c>
      <c r="O405" s="92" t="str">
        <f t="shared" si="24"/>
        <v>Unique</v>
      </c>
      <c r="P405" s="94">
        <f t="shared" si="22"/>
        <v>8</v>
      </c>
    </row>
    <row r="406" spans="1:16">
      <c r="A406" s="115">
        <v>3101404</v>
      </c>
      <c r="B406" s="85" t="s">
        <v>259</v>
      </c>
      <c r="C406" s="96" t="s">
        <v>17</v>
      </c>
      <c r="D406" s="85" t="s">
        <v>12</v>
      </c>
      <c r="E406" s="96" t="s">
        <v>13</v>
      </c>
      <c r="F406" s="96" t="s">
        <v>24</v>
      </c>
      <c r="G406" s="85" t="s">
        <v>256</v>
      </c>
      <c r="H406" s="98">
        <v>46230</v>
      </c>
      <c r="I406" s="85">
        <v>615000</v>
      </c>
      <c r="J406" s="96">
        <v>3</v>
      </c>
      <c r="K406" s="106">
        <v>77</v>
      </c>
      <c r="L406" s="94" t="str" cm="1">
        <f t="array" ref="L406">_xlfn.IFS(J406&lt;2,"Fresher",J406&lt;=3,"Mid Level",J406&gt;3,"Experienced")</f>
        <v>Mid Level</v>
      </c>
      <c r="M406" s="90" t="str" cm="1">
        <f t="array" ref="M406">_xlfn.IFS(I406&gt;=600000,"High",I406&gt;=450000,"Medium",I406&lt;450000,"Low")</f>
        <v>High</v>
      </c>
      <c r="N406" s="94">
        <f t="shared" si="23"/>
        <v>0.02</v>
      </c>
      <c r="O406" s="92" t="str">
        <f t="shared" si="24"/>
        <v>Unique</v>
      </c>
      <c r="P406" s="94">
        <f t="shared" si="22"/>
        <v>7</v>
      </c>
    </row>
    <row r="407" spans="1:16">
      <c r="A407" s="115">
        <v>3101405</v>
      </c>
      <c r="B407" s="85" t="s">
        <v>310</v>
      </c>
      <c r="C407" s="96" t="s">
        <v>17</v>
      </c>
      <c r="D407" s="85" t="s">
        <v>18</v>
      </c>
      <c r="E407" s="96" t="s">
        <v>39</v>
      </c>
      <c r="F407" s="96" t="s">
        <v>34</v>
      </c>
      <c r="G407" s="85" t="s">
        <v>15</v>
      </c>
      <c r="H407" s="98">
        <v>46231</v>
      </c>
      <c r="I407" s="85">
        <v>365000</v>
      </c>
      <c r="J407" s="96">
        <v>2</v>
      </c>
      <c r="K407" s="106">
        <v>72</v>
      </c>
      <c r="L407" s="94" t="str" cm="1">
        <f t="array" ref="L407">_xlfn.IFS(J407&lt;2,"Fresher",J407&lt;=3,"Mid Level",J407&gt;3,"Experienced")</f>
        <v>Mid Level</v>
      </c>
      <c r="M407" s="90" t="str" cm="1">
        <f t="array" ref="M407">_xlfn.IFS(I407&gt;=600000,"High",I407&gt;=450000,"Medium",I407&lt;450000,"Low")</f>
        <v>Low</v>
      </c>
      <c r="N407" s="94">
        <f t="shared" si="23"/>
        <v>0.01</v>
      </c>
      <c r="O407" s="92" t="str">
        <f t="shared" si="24"/>
        <v>Unique</v>
      </c>
      <c r="P407" s="94">
        <f t="shared" si="22"/>
        <v>7</v>
      </c>
    </row>
    <row r="408" spans="1:16">
      <c r="A408" s="115">
        <v>3101406</v>
      </c>
      <c r="B408" s="85" t="s">
        <v>286</v>
      </c>
      <c r="C408" s="96" t="s">
        <v>17</v>
      </c>
      <c r="D408" s="85" t="s">
        <v>12</v>
      </c>
      <c r="E408" s="96" t="s">
        <v>23</v>
      </c>
      <c r="F408" s="96" t="s">
        <v>14</v>
      </c>
      <c r="G408" s="85" t="s">
        <v>21</v>
      </c>
      <c r="H408" s="98">
        <v>46269</v>
      </c>
      <c r="I408" s="85">
        <v>505000</v>
      </c>
      <c r="J408" s="96">
        <v>5</v>
      </c>
      <c r="K408" s="106">
        <v>90</v>
      </c>
      <c r="L408" s="94" t="str" cm="1">
        <f t="array" ref="L408">_xlfn.IFS(J408&lt;2,"Fresher",J408&lt;=3,"Mid Level",J408&gt;3,"Experienced")</f>
        <v>Experienced</v>
      </c>
      <c r="M408" s="90" t="str" cm="1">
        <f t="array" ref="M408">_xlfn.IFS(I408&gt;=600000,"High",I408&gt;=450000,"Medium",I408&lt;450000,"Low")</f>
        <v>Medium</v>
      </c>
      <c r="N408" s="94">
        <f t="shared" si="23"/>
        <v>0.02</v>
      </c>
      <c r="O408" s="92" t="str">
        <f t="shared" si="24"/>
        <v>Unique</v>
      </c>
      <c r="P408" s="94">
        <f t="shared" si="22"/>
        <v>9</v>
      </c>
    </row>
    <row r="409" spans="1:16">
      <c r="A409" s="115">
        <v>3101407</v>
      </c>
      <c r="B409" s="85" t="s">
        <v>49</v>
      </c>
      <c r="C409" s="96" t="s">
        <v>260</v>
      </c>
      <c r="D409" s="85" t="s">
        <v>12</v>
      </c>
      <c r="E409" s="96" t="s">
        <v>13</v>
      </c>
      <c r="F409" s="96" t="s">
        <v>14</v>
      </c>
      <c r="G409" s="85" t="s">
        <v>25</v>
      </c>
      <c r="H409" s="98">
        <v>46249</v>
      </c>
      <c r="I409" s="85">
        <v>435000</v>
      </c>
      <c r="J409" s="96">
        <v>3</v>
      </c>
      <c r="K409" s="106">
        <v>74</v>
      </c>
      <c r="L409" s="94" t="str" cm="1">
        <f t="array" ref="L409">_xlfn.IFS(J409&lt;2,"Fresher",J409&lt;=3,"Mid Level",J409&gt;3,"Experienced")</f>
        <v>Mid Level</v>
      </c>
      <c r="M409" s="90" t="str" cm="1">
        <f t="array" ref="M409">_xlfn.IFS(I409&gt;=600000,"High",I409&gt;=450000,"Medium",I409&lt;450000,"Low")</f>
        <v>Low</v>
      </c>
      <c r="N409" s="94">
        <f t="shared" si="23"/>
        <v>0.02</v>
      </c>
      <c r="O409" s="92" t="str">
        <f t="shared" si="24"/>
        <v>Unique</v>
      </c>
      <c r="P409" s="94">
        <f t="shared" si="22"/>
        <v>8</v>
      </c>
    </row>
    <row r="410" spans="1:16">
      <c r="A410" s="115">
        <v>3101408</v>
      </c>
      <c r="B410" s="85" t="s">
        <v>278</v>
      </c>
      <c r="C410" s="96" t="s">
        <v>258</v>
      </c>
      <c r="D410" s="85" t="s">
        <v>12</v>
      </c>
      <c r="E410" s="96" t="s">
        <v>23</v>
      </c>
      <c r="F410" s="96" t="s">
        <v>14</v>
      </c>
      <c r="G410" s="85" t="s">
        <v>256</v>
      </c>
      <c r="H410" s="98">
        <v>46170</v>
      </c>
      <c r="I410" s="85">
        <v>490000</v>
      </c>
      <c r="J410" s="96">
        <v>5</v>
      </c>
      <c r="K410" s="106">
        <v>85</v>
      </c>
      <c r="L410" s="94" t="str" cm="1">
        <f t="array" ref="L410">_xlfn.IFS(J410&lt;2,"Fresher",J410&lt;=3,"Mid Level",J410&gt;3,"Experienced")</f>
        <v>Experienced</v>
      </c>
      <c r="M410" s="90" t="str" cm="1">
        <f t="array" ref="M410">_xlfn.IFS(I410&gt;=600000,"High",I410&gt;=450000,"Medium",I410&lt;450000,"Low")</f>
        <v>Medium</v>
      </c>
      <c r="N410" s="94">
        <f t="shared" si="23"/>
        <v>0.02</v>
      </c>
      <c r="O410" s="92" t="str">
        <f t="shared" si="24"/>
        <v>Unique</v>
      </c>
      <c r="P410" s="94">
        <f t="shared" si="22"/>
        <v>5</v>
      </c>
    </row>
    <row r="411" spans="1:16">
      <c r="A411" s="115">
        <v>3101409</v>
      </c>
      <c r="B411" s="85" t="s">
        <v>310</v>
      </c>
      <c r="C411" s="96" t="s">
        <v>260</v>
      </c>
      <c r="D411" s="85" t="s">
        <v>12</v>
      </c>
      <c r="E411" s="96" t="s">
        <v>261</v>
      </c>
      <c r="F411" s="96" t="s">
        <v>34</v>
      </c>
      <c r="G411" s="85" t="s">
        <v>21</v>
      </c>
      <c r="H411" s="98">
        <v>46210</v>
      </c>
      <c r="I411" s="85">
        <v>440000</v>
      </c>
      <c r="J411" s="96">
        <v>5</v>
      </c>
      <c r="K411" s="106">
        <v>94</v>
      </c>
      <c r="L411" s="94" t="str" cm="1">
        <f t="array" ref="L411">_xlfn.IFS(J411&lt;2,"Fresher",J411&lt;=3,"Mid Level",J411&gt;3,"Experienced")</f>
        <v>Experienced</v>
      </c>
      <c r="M411" s="90" t="str" cm="1">
        <f t="array" ref="M411">_xlfn.IFS(I411&gt;=600000,"High",I411&gt;=450000,"Medium",I411&lt;450000,"Low")</f>
        <v>Low</v>
      </c>
      <c r="N411" s="94">
        <f t="shared" si="23"/>
        <v>0.01</v>
      </c>
      <c r="O411" s="92" t="str">
        <f t="shared" si="24"/>
        <v>Unique</v>
      </c>
      <c r="P411" s="94">
        <f t="shared" si="22"/>
        <v>7</v>
      </c>
    </row>
    <row r="412" spans="1:16">
      <c r="A412" s="115">
        <v>3101410</v>
      </c>
      <c r="B412" s="85" t="s">
        <v>270</v>
      </c>
      <c r="C412" s="96" t="s">
        <v>268</v>
      </c>
      <c r="D412" s="85" t="s">
        <v>12</v>
      </c>
      <c r="E412" s="96" t="s">
        <v>13</v>
      </c>
      <c r="F412" s="96" t="s">
        <v>24</v>
      </c>
      <c r="G412" s="85" t="s">
        <v>21</v>
      </c>
      <c r="H412" s="98">
        <v>46152</v>
      </c>
      <c r="I412" s="85">
        <v>550000</v>
      </c>
      <c r="J412" s="96">
        <v>4</v>
      </c>
      <c r="K412" s="106">
        <v>68</v>
      </c>
      <c r="L412" s="94" t="str" cm="1">
        <f t="array" ref="L412">_xlfn.IFS(J412&lt;2,"Fresher",J412&lt;=3,"Mid Level",J412&gt;3,"Experienced")</f>
        <v>Experienced</v>
      </c>
      <c r="M412" s="90" t="str" cm="1">
        <f t="array" ref="M412">_xlfn.IFS(I412&gt;=600000,"High",I412&gt;=450000,"Medium",I412&lt;450000,"Low")</f>
        <v>Medium</v>
      </c>
      <c r="N412" s="94">
        <f t="shared" si="23"/>
        <v>0.02</v>
      </c>
      <c r="O412" s="92" t="str">
        <f t="shared" si="24"/>
        <v>Unique</v>
      </c>
      <c r="P412" s="94">
        <f t="shared" si="22"/>
        <v>5</v>
      </c>
    </row>
    <row r="413" spans="1:16">
      <c r="A413" s="115">
        <v>3101411</v>
      </c>
      <c r="B413" s="85" t="s">
        <v>47</v>
      </c>
      <c r="C413" s="96" t="s">
        <v>260</v>
      </c>
      <c r="D413" s="85" t="s">
        <v>12</v>
      </c>
      <c r="E413" s="96" t="s">
        <v>265</v>
      </c>
      <c r="F413" s="96" t="s">
        <v>34</v>
      </c>
      <c r="G413" s="85" t="s">
        <v>256</v>
      </c>
      <c r="H413" s="98">
        <v>46161</v>
      </c>
      <c r="I413" s="85">
        <v>465000</v>
      </c>
      <c r="J413" s="96">
        <v>5</v>
      </c>
      <c r="K413" s="106">
        <v>87</v>
      </c>
      <c r="L413" s="94" t="str" cm="1">
        <f t="array" ref="L413">_xlfn.IFS(J413&lt;2,"Fresher",J413&lt;=3,"Mid Level",J413&gt;3,"Experienced")</f>
        <v>Experienced</v>
      </c>
      <c r="M413" s="90" t="str" cm="1">
        <f t="array" ref="M413">_xlfn.IFS(I413&gt;=600000,"High",I413&gt;=450000,"Medium",I413&lt;450000,"Low")</f>
        <v>Medium</v>
      </c>
      <c r="N413" s="94">
        <f t="shared" si="23"/>
        <v>0.01</v>
      </c>
      <c r="O413" s="92" t="str">
        <f t="shared" si="24"/>
        <v>Unique</v>
      </c>
      <c r="P413" s="94">
        <f t="shared" si="22"/>
        <v>5</v>
      </c>
    </row>
    <row r="414" spans="1:16">
      <c r="A414" s="115">
        <v>3101412</v>
      </c>
      <c r="B414" s="85" t="s">
        <v>280</v>
      </c>
      <c r="C414" s="96" t="s">
        <v>268</v>
      </c>
      <c r="D414" s="85" t="s">
        <v>12</v>
      </c>
      <c r="E414" s="96" t="s">
        <v>13</v>
      </c>
      <c r="F414" s="96" t="s">
        <v>14</v>
      </c>
      <c r="G414" s="85" t="s">
        <v>256</v>
      </c>
      <c r="H414" s="98">
        <v>46267</v>
      </c>
      <c r="I414" s="85">
        <v>460000</v>
      </c>
      <c r="J414" s="96">
        <v>4</v>
      </c>
      <c r="K414" s="106">
        <v>82</v>
      </c>
      <c r="L414" s="94" t="str" cm="1">
        <f t="array" ref="L414">_xlfn.IFS(J414&lt;2,"Fresher",J414&lt;=3,"Mid Level",J414&gt;3,"Experienced")</f>
        <v>Experienced</v>
      </c>
      <c r="M414" s="90" t="str" cm="1">
        <f t="array" ref="M414">_xlfn.IFS(I414&gt;=600000,"High",I414&gt;=450000,"Medium",I414&lt;450000,"Low")</f>
        <v>Medium</v>
      </c>
      <c r="N414" s="94">
        <f t="shared" si="23"/>
        <v>0.02</v>
      </c>
      <c r="O414" s="92" t="str">
        <f t="shared" si="24"/>
        <v>Unique</v>
      </c>
      <c r="P414" s="94">
        <f t="shared" si="22"/>
        <v>9</v>
      </c>
    </row>
    <row r="415" spans="1:16">
      <c r="A415" s="115">
        <v>3101413</v>
      </c>
      <c r="B415" s="85" t="s">
        <v>275</v>
      </c>
      <c r="C415" s="96" t="s">
        <v>11</v>
      </c>
      <c r="D415" s="85" t="s">
        <v>12</v>
      </c>
      <c r="E415" s="96" t="s">
        <v>261</v>
      </c>
      <c r="F415" s="96" t="s">
        <v>14</v>
      </c>
      <c r="G415" s="85" t="s">
        <v>25</v>
      </c>
      <c r="H415" s="98">
        <v>46217</v>
      </c>
      <c r="I415" s="85">
        <v>645000</v>
      </c>
      <c r="J415" s="96">
        <v>5</v>
      </c>
      <c r="K415" s="106">
        <v>76</v>
      </c>
      <c r="L415" s="94" t="str" cm="1">
        <f t="array" ref="L415">_xlfn.IFS(J415&lt;2,"Fresher",J415&lt;=3,"Mid Level",J415&gt;3,"Experienced")</f>
        <v>Experienced</v>
      </c>
      <c r="M415" s="90" t="str" cm="1">
        <f t="array" ref="M415">_xlfn.IFS(I415&gt;=600000,"High",I415&gt;=450000,"Medium",I415&lt;450000,"Low")</f>
        <v>High</v>
      </c>
      <c r="N415" s="94">
        <f t="shared" si="23"/>
        <v>0.02</v>
      </c>
      <c r="O415" s="92" t="str">
        <f t="shared" si="24"/>
        <v>Unique</v>
      </c>
      <c r="P415" s="94">
        <f t="shared" si="22"/>
        <v>7</v>
      </c>
    </row>
    <row r="416" spans="1:16">
      <c r="A416" s="115">
        <v>3101414</v>
      </c>
      <c r="B416" s="85" t="s">
        <v>98</v>
      </c>
      <c r="C416" s="96" t="s">
        <v>11</v>
      </c>
      <c r="D416" s="85" t="s">
        <v>12</v>
      </c>
      <c r="E416" s="96" t="s">
        <v>303</v>
      </c>
      <c r="F416" s="96" t="s">
        <v>24</v>
      </c>
      <c r="G416" s="85" t="s">
        <v>21</v>
      </c>
      <c r="H416" s="98">
        <v>46153</v>
      </c>
      <c r="I416" s="85">
        <v>860000</v>
      </c>
      <c r="J416" s="96">
        <v>0</v>
      </c>
      <c r="K416" s="106">
        <v>88</v>
      </c>
      <c r="L416" s="94" t="str" cm="1">
        <f t="array" ref="L416">_xlfn.IFS(J416&lt;2,"Fresher",J416&lt;=3,"Mid Level",J416&gt;3,"Experienced")</f>
        <v>Fresher</v>
      </c>
      <c r="M416" s="90" t="str" cm="1">
        <f t="array" ref="M416">_xlfn.IFS(I416&gt;=600000,"High",I416&gt;=450000,"Medium",I416&lt;450000,"Low")</f>
        <v>High</v>
      </c>
      <c r="N416" s="94">
        <f t="shared" si="23"/>
        <v>0.02</v>
      </c>
      <c r="O416" s="92" t="str">
        <f t="shared" si="24"/>
        <v>Unique</v>
      </c>
      <c r="P416" s="94">
        <f t="shared" si="22"/>
        <v>5</v>
      </c>
    </row>
    <row r="417" spans="1:16">
      <c r="A417" s="115">
        <v>3101415</v>
      </c>
      <c r="B417" s="85" t="s">
        <v>278</v>
      </c>
      <c r="C417" s="96" t="s">
        <v>258</v>
      </c>
      <c r="D417" s="85" t="s">
        <v>12</v>
      </c>
      <c r="E417" s="96" t="s">
        <v>303</v>
      </c>
      <c r="F417" s="96" t="s">
        <v>24</v>
      </c>
      <c r="G417" s="85" t="s">
        <v>15</v>
      </c>
      <c r="H417" s="98">
        <v>46208</v>
      </c>
      <c r="I417" s="85">
        <v>685000</v>
      </c>
      <c r="J417" s="96">
        <v>5</v>
      </c>
      <c r="K417" s="106">
        <v>91</v>
      </c>
      <c r="L417" s="94" t="str" cm="1">
        <f t="array" ref="L417">_xlfn.IFS(J417&lt;2,"Fresher",J417&lt;=3,"Mid Level",J417&gt;3,"Experienced")</f>
        <v>Experienced</v>
      </c>
      <c r="M417" s="90" t="str" cm="1">
        <f t="array" ref="M417">_xlfn.IFS(I417&gt;=600000,"High",I417&gt;=450000,"Medium",I417&lt;450000,"Low")</f>
        <v>High</v>
      </c>
      <c r="N417" s="94">
        <f t="shared" si="23"/>
        <v>0.02</v>
      </c>
      <c r="O417" s="92" t="str">
        <f t="shared" si="24"/>
        <v>Unique</v>
      </c>
      <c r="P417" s="94">
        <f t="shared" si="22"/>
        <v>7</v>
      </c>
    </row>
    <row r="418" spans="1:16">
      <c r="A418" s="115">
        <v>3101416</v>
      </c>
      <c r="B418" s="85" t="s">
        <v>26</v>
      </c>
      <c r="C418" s="96" t="s">
        <v>260</v>
      </c>
      <c r="D418" s="85" t="s">
        <v>12</v>
      </c>
      <c r="E418" s="96" t="s">
        <v>36</v>
      </c>
      <c r="F418" s="96" t="s">
        <v>14</v>
      </c>
      <c r="G418" s="85" t="s">
        <v>256</v>
      </c>
      <c r="H418" s="98">
        <v>46224</v>
      </c>
      <c r="I418" s="85">
        <v>790000</v>
      </c>
      <c r="J418" s="96">
        <v>0</v>
      </c>
      <c r="K418" s="106">
        <v>69</v>
      </c>
      <c r="L418" s="94" t="str" cm="1">
        <f t="array" ref="L418">_xlfn.IFS(J418&lt;2,"Fresher",J418&lt;=3,"Mid Level",J418&gt;3,"Experienced")</f>
        <v>Fresher</v>
      </c>
      <c r="M418" s="90" t="str" cm="1">
        <f t="array" ref="M418">_xlfn.IFS(I418&gt;=600000,"High",I418&gt;=450000,"Medium",I418&lt;450000,"Low")</f>
        <v>High</v>
      </c>
      <c r="N418" s="94">
        <f t="shared" si="23"/>
        <v>0.02</v>
      </c>
      <c r="O418" s="92" t="str">
        <f t="shared" si="24"/>
        <v>Unique</v>
      </c>
      <c r="P418" s="94">
        <f t="shared" si="22"/>
        <v>7</v>
      </c>
    </row>
    <row r="419" spans="1:16">
      <c r="A419" s="115">
        <v>3101417</v>
      </c>
      <c r="B419" s="85" t="s">
        <v>313</v>
      </c>
      <c r="C419" s="96" t="s">
        <v>260</v>
      </c>
      <c r="D419" s="85" t="s">
        <v>12</v>
      </c>
      <c r="E419" s="96" t="s">
        <v>23</v>
      </c>
      <c r="F419" s="96" t="s">
        <v>34</v>
      </c>
      <c r="G419" s="85" t="s">
        <v>15</v>
      </c>
      <c r="H419" s="98">
        <v>46293</v>
      </c>
      <c r="I419" s="85">
        <v>710000</v>
      </c>
      <c r="J419" s="96">
        <v>3</v>
      </c>
      <c r="K419" s="106">
        <v>95</v>
      </c>
      <c r="L419" s="94" t="str" cm="1">
        <f t="array" ref="L419">_xlfn.IFS(J419&lt;2,"Fresher",J419&lt;=3,"Mid Level",J419&gt;3,"Experienced")</f>
        <v>Mid Level</v>
      </c>
      <c r="M419" s="90" t="str" cm="1">
        <f t="array" ref="M419">_xlfn.IFS(I419&gt;=600000,"High",I419&gt;=450000,"Medium",I419&lt;450000,"Low")</f>
        <v>High</v>
      </c>
      <c r="N419" s="94">
        <f t="shared" si="23"/>
        <v>0.01</v>
      </c>
      <c r="O419" s="92" t="str">
        <f t="shared" si="24"/>
        <v>Unique</v>
      </c>
      <c r="P419" s="94">
        <f t="shared" si="22"/>
        <v>9</v>
      </c>
    </row>
    <row r="420" spans="1:16">
      <c r="A420" s="115">
        <v>3101418</v>
      </c>
      <c r="B420" s="85" t="s">
        <v>285</v>
      </c>
      <c r="C420" s="96" t="s">
        <v>264</v>
      </c>
      <c r="D420" s="85" t="s">
        <v>12</v>
      </c>
      <c r="E420" s="96" t="s">
        <v>265</v>
      </c>
      <c r="F420" s="96" t="s">
        <v>24</v>
      </c>
      <c r="G420" s="85" t="s">
        <v>21</v>
      </c>
      <c r="H420" s="98">
        <v>46241</v>
      </c>
      <c r="I420" s="85">
        <v>435000</v>
      </c>
      <c r="J420" s="96">
        <v>1</v>
      </c>
      <c r="K420" s="106">
        <v>73</v>
      </c>
      <c r="L420" s="94" t="str" cm="1">
        <f t="array" ref="L420">_xlfn.IFS(J420&lt;2,"Fresher",J420&lt;=3,"Mid Level",J420&gt;3,"Experienced")</f>
        <v>Fresher</v>
      </c>
      <c r="M420" s="90" t="str" cm="1">
        <f t="array" ref="M420">_xlfn.IFS(I420&gt;=600000,"High",I420&gt;=450000,"Medium",I420&lt;450000,"Low")</f>
        <v>Low</v>
      </c>
      <c r="N420" s="94">
        <f t="shared" si="23"/>
        <v>0.02</v>
      </c>
      <c r="O420" s="92" t="str">
        <f t="shared" si="24"/>
        <v>Unique</v>
      </c>
      <c r="P420" s="94">
        <f t="shared" si="22"/>
        <v>8</v>
      </c>
    </row>
    <row r="421" spans="1:16">
      <c r="A421" s="115">
        <v>3101419</v>
      </c>
      <c r="B421" s="85" t="s">
        <v>308</v>
      </c>
      <c r="C421" s="96" t="s">
        <v>17</v>
      </c>
      <c r="D421" s="85" t="s">
        <v>12</v>
      </c>
      <c r="E421" s="96" t="s">
        <v>23</v>
      </c>
      <c r="F421" s="96" t="s">
        <v>14</v>
      </c>
      <c r="G421" s="85" t="s">
        <v>25</v>
      </c>
      <c r="H421" s="98">
        <v>46258</v>
      </c>
      <c r="I421" s="85">
        <v>560000</v>
      </c>
      <c r="J421" s="96">
        <v>2</v>
      </c>
      <c r="K421" s="106">
        <v>84</v>
      </c>
      <c r="L421" s="94" t="str" cm="1">
        <f t="array" ref="L421">_xlfn.IFS(J421&lt;2,"Fresher",J421&lt;=3,"Mid Level",J421&gt;3,"Experienced")</f>
        <v>Mid Level</v>
      </c>
      <c r="M421" s="90" t="str" cm="1">
        <f t="array" ref="M421">_xlfn.IFS(I421&gt;=600000,"High",I421&gt;=450000,"Medium",I421&lt;450000,"Low")</f>
        <v>Medium</v>
      </c>
      <c r="N421" s="94">
        <f t="shared" si="23"/>
        <v>0.02</v>
      </c>
      <c r="O421" s="92" t="str">
        <f t="shared" si="24"/>
        <v>Unique</v>
      </c>
      <c r="P421" s="94">
        <f t="shared" si="22"/>
        <v>8</v>
      </c>
    </row>
    <row r="422" spans="1:16">
      <c r="A422" s="115">
        <v>3101420</v>
      </c>
      <c r="B422" s="85" t="s">
        <v>266</v>
      </c>
      <c r="C422" s="96" t="s">
        <v>268</v>
      </c>
      <c r="D422" s="85" t="s">
        <v>12</v>
      </c>
      <c r="E422" s="96" t="s">
        <v>13</v>
      </c>
      <c r="F422" s="96" t="s">
        <v>14</v>
      </c>
      <c r="G422" s="85" t="s">
        <v>25</v>
      </c>
      <c r="H422" s="98">
        <v>46174</v>
      </c>
      <c r="I422" s="85">
        <v>600000</v>
      </c>
      <c r="J422" s="96">
        <v>2</v>
      </c>
      <c r="K422" s="106">
        <v>79</v>
      </c>
      <c r="L422" s="94" t="str" cm="1">
        <f t="array" ref="L422">_xlfn.IFS(J422&lt;2,"Fresher",J422&lt;=3,"Mid Level",J422&gt;3,"Experienced")</f>
        <v>Mid Level</v>
      </c>
      <c r="M422" s="90" t="str" cm="1">
        <f t="array" ref="M422">_xlfn.IFS(I422&gt;=600000,"High",I422&gt;=450000,"Medium",I422&lt;450000,"Low")</f>
        <v>High</v>
      </c>
      <c r="N422" s="94">
        <f t="shared" si="23"/>
        <v>0.02</v>
      </c>
      <c r="O422" s="92" t="str">
        <f t="shared" si="24"/>
        <v>Unique</v>
      </c>
      <c r="P422" s="94">
        <f t="shared" si="22"/>
        <v>6</v>
      </c>
    </row>
    <row r="423" spans="1:16">
      <c r="A423" s="115">
        <v>3101421</v>
      </c>
      <c r="B423" s="85" t="s">
        <v>255</v>
      </c>
      <c r="C423" s="96" t="s">
        <v>268</v>
      </c>
      <c r="D423" s="85" t="s">
        <v>18</v>
      </c>
      <c r="E423" s="96" t="s">
        <v>39</v>
      </c>
      <c r="F423" s="96" t="s">
        <v>14</v>
      </c>
      <c r="G423" s="85" t="s">
        <v>15</v>
      </c>
      <c r="H423" s="98">
        <v>46260</v>
      </c>
      <c r="I423" s="85">
        <v>470000</v>
      </c>
      <c r="J423" s="96">
        <v>1</v>
      </c>
      <c r="K423" s="106">
        <v>71</v>
      </c>
      <c r="L423" s="94" t="str" cm="1">
        <f t="array" ref="L423">_xlfn.IFS(J423&lt;2,"Fresher",J423&lt;=3,"Mid Level",J423&gt;3,"Experienced")</f>
        <v>Fresher</v>
      </c>
      <c r="M423" s="90" t="str" cm="1">
        <f t="array" ref="M423">_xlfn.IFS(I423&gt;=600000,"High",I423&gt;=450000,"Medium",I423&lt;450000,"Low")</f>
        <v>Medium</v>
      </c>
      <c r="N423" s="94">
        <f t="shared" si="23"/>
        <v>0.02</v>
      </c>
      <c r="O423" s="92" t="str">
        <f t="shared" si="24"/>
        <v>Unique</v>
      </c>
      <c r="P423" s="94">
        <f t="shared" si="22"/>
        <v>8</v>
      </c>
    </row>
    <row r="424" spans="1:16">
      <c r="A424" s="115">
        <v>3101422</v>
      </c>
      <c r="B424" s="85" t="s">
        <v>286</v>
      </c>
      <c r="C424" s="96" t="s">
        <v>268</v>
      </c>
      <c r="D424" s="85" t="s">
        <v>12</v>
      </c>
      <c r="E424" s="96" t="s">
        <v>36</v>
      </c>
      <c r="F424" s="96" t="s">
        <v>24</v>
      </c>
      <c r="G424" s="85" t="s">
        <v>21</v>
      </c>
      <c r="H424" s="98">
        <v>46226</v>
      </c>
      <c r="I424" s="85">
        <v>865000</v>
      </c>
      <c r="J424" s="96">
        <v>4</v>
      </c>
      <c r="K424" s="106">
        <v>89</v>
      </c>
      <c r="L424" s="94" t="str" cm="1">
        <f t="array" ref="L424">_xlfn.IFS(J424&lt;2,"Fresher",J424&lt;=3,"Mid Level",J424&gt;3,"Experienced")</f>
        <v>Experienced</v>
      </c>
      <c r="M424" s="90" t="str" cm="1">
        <f t="array" ref="M424">_xlfn.IFS(I424&gt;=600000,"High",I424&gt;=450000,"Medium",I424&lt;450000,"Low")</f>
        <v>High</v>
      </c>
      <c r="N424" s="94">
        <f t="shared" si="23"/>
        <v>0.02</v>
      </c>
      <c r="O424" s="92" t="str">
        <f t="shared" si="24"/>
        <v>Unique</v>
      </c>
      <c r="P424" s="94">
        <f t="shared" si="22"/>
        <v>7</v>
      </c>
    </row>
    <row r="425" spans="1:16">
      <c r="A425" s="115">
        <v>3101423</v>
      </c>
      <c r="B425" s="85" t="s">
        <v>291</v>
      </c>
      <c r="C425" s="96" t="s">
        <v>11</v>
      </c>
      <c r="D425" s="85" t="s">
        <v>12</v>
      </c>
      <c r="E425" s="96" t="s">
        <v>261</v>
      </c>
      <c r="F425" s="96" t="s">
        <v>34</v>
      </c>
      <c r="G425" s="85" t="s">
        <v>15</v>
      </c>
      <c r="H425" s="98">
        <v>46207</v>
      </c>
      <c r="I425" s="85">
        <v>445000</v>
      </c>
      <c r="J425" s="96">
        <v>5</v>
      </c>
      <c r="K425" s="106">
        <v>67</v>
      </c>
      <c r="L425" s="94" t="str" cm="1">
        <f t="array" ref="L425">_xlfn.IFS(J425&lt;2,"Fresher",J425&lt;=3,"Mid Level",J425&gt;3,"Experienced")</f>
        <v>Experienced</v>
      </c>
      <c r="M425" s="90" t="str" cm="1">
        <f t="array" ref="M425">_xlfn.IFS(I425&gt;=600000,"High",I425&gt;=450000,"Medium",I425&lt;450000,"Low")</f>
        <v>Low</v>
      </c>
      <c r="N425" s="94">
        <f t="shared" si="23"/>
        <v>0.01</v>
      </c>
      <c r="O425" s="92" t="str">
        <f t="shared" si="24"/>
        <v>Unique</v>
      </c>
      <c r="P425" s="94">
        <f t="shared" si="22"/>
        <v>7</v>
      </c>
    </row>
    <row r="426" spans="1:16">
      <c r="A426" s="115">
        <v>3101424</v>
      </c>
      <c r="B426" s="85" t="s">
        <v>289</v>
      </c>
      <c r="C426" s="96" t="s">
        <v>17</v>
      </c>
      <c r="D426" s="85" t="s">
        <v>12</v>
      </c>
      <c r="E426" s="96" t="s">
        <v>265</v>
      </c>
      <c r="F426" s="96" t="s">
        <v>14</v>
      </c>
      <c r="G426" s="85" t="s">
        <v>15</v>
      </c>
      <c r="H426" s="98">
        <v>46184</v>
      </c>
      <c r="I426" s="85">
        <v>570000</v>
      </c>
      <c r="J426" s="96">
        <v>3</v>
      </c>
      <c r="K426" s="106">
        <v>86</v>
      </c>
      <c r="L426" s="94" t="str" cm="1">
        <f t="array" ref="L426">_xlfn.IFS(J426&lt;2,"Fresher",J426&lt;=3,"Mid Level",J426&gt;3,"Experienced")</f>
        <v>Mid Level</v>
      </c>
      <c r="M426" s="90" t="str" cm="1">
        <f t="array" ref="M426">_xlfn.IFS(I426&gt;=600000,"High",I426&gt;=450000,"Medium",I426&lt;450000,"Low")</f>
        <v>Medium</v>
      </c>
      <c r="N426" s="94">
        <f t="shared" si="23"/>
        <v>0.02</v>
      </c>
      <c r="O426" s="92" t="str">
        <f t="shared" si="24"/>
        <v>Unique</v>
      </c>
      <c r="P426" s="94">
        <f t="shared" si="22"/>
        <v>6</v>
      </c>
    </row>
    <row r="427" spans="1:16">
      <c r="A427" s="115">
        <v>3101425</v>
      </c>
      <c r="B427" s="85" t="s">
        <v>269</v>
      </c>
      <c r="C427" s="96" t="s">
        <v>11</v>
      </c>
      <c r="D427" s="85" t="s">
        <v>32</v>
      </c>
      <c r="E427" s="96" t="s">
        <v>33</v>
      </c>
      <c r="F427" s="96" t="s">
        <v>14</v>
      </c>
      <c r="G427" s="85" t="s">
        <v>21</v>
      </c>
      <c r="H427" s="98">
        <v>46229</v>
      </c>
      <c r="I427" s="85">
        <v>345000</v>
      </c>
      <c r="J427" s="96">
        <v>5</v>
      </c>
      <c r="K427" s="106">
        <v>92</v>
      </c>
      <c r="L427" s="94" t="str" cm="1">
        <f t="array" ref="L427">_xlfn.IFS(J427&lt;2,"Fresher",J427&lt;=3,"Mid Level",J427&gt;3,"Experienced")</f>
        <v>Experienced</v>
      </c>
      <c r="M427" s="90" t="str" cm="1">
        <f t="array" ref="M427">_xlfn.IFS(I427&gt;=600000,"High",I427&gt;=450000,"Medium",I427&lt;450000,"Low")</f>
        <v>Low</v>
      </c>
      <c r="N427" s="94">
        <f t="shared" si="23"/>
        <v>0.02</v>
      </c>
      <c r="O427" s="92" t="str">
        <f t="shared" si="24"/>
        <v>Unique</v>
      </c>
      <c r="P427" s="94">
        <f t="shared" si="22"/>
        <v>7</v>
      </c>
    </row>
    <row r="428" spans="1:16">
      <c r="A428" s="115">
        <v>3101426</v>
      </c>
      <c r="B428" s="85" t="s">
        <v>310</v>
      </c>
      <c r="C428" s="96" t="s">
        <v>11</v>
      </c>
      <c r="D428" s="85" t="s">
        <v>28</v>
      </c>
      <c r="E428" s="96" t="s">
        <v>29</v>
      </c>
      <c r="F428" s="96" t="s">
        <v>20</v>
      </c>
      <c r="G428" s="85" t="s">
        <v>25</v>
      </c>
      <c r="H428" s="98">
        <v>46175</v>
      </c>
      <c r="I428" s="85">
        <v>355000</v>
      </c>
      <c r="J428" s="96">
        <v>1</v>
      </c>
      <c r="K428" s="106">
        <v>69</v>
      </c>
      <c r="L428" s="94" t="str" cm="1">
        <f t="array" ref="L428">_xlfn.IFS(J428&lt;2,"Fresher",J428&lt;=3,"Mid Level",J428&gt;3,"Experienced")</f>
        <v>Fresher</v>
      </c>
      <c r="M428" s="90" t="str" cm="1">
        <f t="array" ref="M428">_xlfn.IFS(I428&gt;=600000,"High",I428&gt;=450000,"Medium",I428&lt;450000,"Low")</f>
        <v>Low</v>
      </c>
      <c r="N428" s="94">
        <f t="shared" si="23"/>
        <v>0.05</v>
      </c>
      <c r="O428" s="92" t="str">
        <f t="shared" si="24"/>
        <v>Unique</v>
      </c>
      <c r="P428" s="94">
        <f t="shared" si="22"/>
        <v>6</v>
      </c>
    </row>
    <row r="429" spans="1:16">
      <c r="A429" s="115">
        <v>3101427</v>
      </c>
      <c r="B429" s="85" t="s">
        <v>269</v>
      </c>
      <c r="C429" s="96" t="s">
        <v>258</v>
      </c>
      <c r="D429" s="85" t="s">
        <v>32</v>
      </c>
      <c r="E429" s="96" t="s">
        <v>33</v>
      </c>
      <c r="F429" s="96" t="s">
        <v>34</v>
      </c>
      <c r="G429" s="85" t="s">
        <v>256</v>
      </c>
      <c r="H429" s="98">
        <v>46251</v>
      </c>
      <c r="I429" s="85">
        <v>435000</v>
      </c>
      <c r="J429" s="96">
        <v>5</v>
      </c>
      <c r="K429" s="106">
        <v>81</v>
      </c>
      <c r="L429" s="94" t="str" cm="1">
        <f t="array" ref="L429">_xlfn.IFS(J429&lt;2,"Fresher",J429&lt;=3,"Mid Level",J429&gt;3,"Experienced")</f>
        <v>Experienced</v>
      </c>
      <c r="M429" s="90" t="str" cm="1">
        <f t="array" ref="M429">_xlfn.IFS(I429&gt;=600000,"High",I429&gt;=450000,"Medium",I429&lt;450000,"Low")</f>
        <v>Low</v>
      </c>
      <c r="N429" s="94">
        <f t="shared" si="23"/>
        <v>0.01</v>
      </c>
      <c r="O429" s="92" t="str">
        <f t="shared" si="24"/>
        <v>Unique</v>
      </c>
      <c r="P429" s="94">
        <f t="shared" si="22"/>
        <v>8</v>
      </c>
    </row>
    <row r="430" spans="1:16">
      <c r="A430" s="115">
        <v>3101428</v>
      </c>
      <c r="B430" s="85" t="s">
        <v>257</v>
      </c>
      <c r="C430" s="96" t="s">
        <v>17</v>
      </c>
      <c r="D430" s="85" t="s">
        <v>28</v>
      </c>
      <c r="E430" s="96" t="s">
        <v>297</v>
      </c>
      <c r="F430" s="96" t="s">
        <v>34</v>
      </c>
      <c r="G430" s="85" t="s">
        <v>21</v>
      </c>
      <c r="H430" s="98">
        <v>46207</v>
      </c>
      <c r="I430" s="85">
        <v>415000</v>
      </c>
      <c r="J430" s="96">
        <v>1</v>
      </c>
      <c r="K430" s="106">
        <v>94</v>
      </c>
      <c r="L430" s="94" t="str" cm="1">
        <f t="array" ref="L430">_xlfn.IFS(J430&lt;2,"Fresher",J430&lt;=3,"Mid Level",J430&gt;3,"Experienced")</f>
        <v>Fresher</v>
      </c>
      <c r="M430" s="90" t="str" cm="1">
        <f t="array" ref="M430">_xlfn.IFS(I430&gt;=600000,"High",I430&gt;=450000,"Medium",I430&lt;450000,"Low")</f>
        <v>Low</v>
      </c>
      <c r="N430" s="94">
        <f t="shared" si="23"/>
        <v>0.01</v>
      </c>
      <c r="O430" s="92" t="str">
        <f t="shared" si="24"/>
        <v>Unique</v>
      </c>
      <c r="P430" s="94">
        <f t="shared" si="22"/>
        <v>7</v>
      </c>
    </row>
    <row r="431" spans="1:16">
      <c r="A431" s="115">
        <v>3101429</v>
      </c>
      <c r="B431" s="85" t="s">
        <v>266</v>
      </c>
      <c r="C431" s="96" t="s">
        <v>268</v>
      </c>
      <c r="D431" s="85" t="s">
        <v>28</v>
      </c>
      <c r="E431" s="96" t="s">
        <v>297</v>
      </c>
      <c r="F431" s="96" t="s">
        <v>24</v>
      </c>
      <c r="G431" s="85" t="s">
        <v>25</v>
      </c>
      <c r="H431" s="98">
        <v>46226</v>
      </c>
      <c r="I431" s="85">
        <v>480000</v>
      </c>
      <c r="J431" s="96">
        <v>3</v>
      </c>
      <c r="K431" s="106">
        <v>77</v>
      </c>
      <c r="L431" s="94" t="str" cm="1">
        <f t="array" ref="L431">_xlfn.IFS(J431&lt;2,"Fresher",J431&lt;=3,"Mid Level",J431&gt;3,"Experienced")</f>
        <v>Mid Level</v>
      </c>
      <c r="M431" s="90" t="str" cm="1">
        <f t="array" ref="M431">_xlfn.IFS(I431&gt;=600000,"High",I431&gt;=450000,"Medium",I431&lt;450000,"Low")</f>
        <v>Medium</v>
      </c>
      <c r="N431" s="94">
        <f t="shared" si="23"/>
        <v>0.02</v>
      </c>
      <c r="O431" s="92" t="str">
        <f t="shared" si="24"/>
        <v>Unique</v>
      </c>
      <c r="P431" s="94">
        <f t="shared" si="22"/>
        <v>7</v>
      </c>
    </row>
    <row r="432" spans="1:16">
      <c r="A432" s="115">
        <v>3101430</v>
      </c>
      <c r="B432" s="85" t="s">
        <v>257</v>
      </c>
      <c r="C432" s="96" t="s">
        <v>11</v>
      </c>
      <c r="D432" s="85" t="s">
        <v>18</v>
      </c>
      <c r="E432" s="96" t="s">
        <v>39</v>
      </c>
      <c r="F432" s="96" t="s">
        <v>14</v>
      </c>
      <c r="G432" s="85" t="s">
        <v>15</v>
      </c>
      <c r="H432" s="98">
        <v>46285</v>
      </c>
      <c r="I432" s="85">
        <v>330000</v>
      </c>
      <c r="J432" s="96">
        <v>1</v>
      </c>
      <c r="K432" s="106">
        <v>72</v>
      </c>
      <c r="L432" s="94" t="str" cm="1">
        <f t="array" ref="L432">_xlfn.IFS(J432&lt;2,"Fresher",J432&lt;=3,"Mid Level",J432&gt;3,"Experienced")</f>
        <v>Fresher</v>
      </c>
      <c r="M432" s="90" t="str" cm="1">
        <f t="array" ref="M432">_xlfn.IFS(I432&gt;=600000,"High",I432&gt;=450000,"Medium",I432&lt;450000,"Low")</f>
        <v>Low</v>
      </c>
      <c r="N432" s="94">
        <f t="shared" si="23"/>
        <v>0.02</v>
      </c>
      <c r="O432" s="92" t="str">
        <f t="shared" si="24"/>
        <v>Unique</v>
      </c>
      <c r="P432" s="94">
        <f t="shared" si="22"/>
        <v>9</v>
      </c>
    </row>
    <row r="433" spans="1:16">
      <c r="A433" s="115">
        <v>3101431</v>
      </c>
      <c r="B433" s="85" t="s">
        <v>255</v>
      </c>
      <c r="C433" s="96" t="s">
        <v>260</v>
      </c>
      <c r="D433" s="85" t="s">
        <v>12</v>
      </c>
      <c r="E433" s="96" t="s">
        <v>303</v>
      </c>
      <c r="F433" s="96" t="s">
        <v>34</v>
      </c>
      <c r="G433" s="85" t="s">
        <v>25</v>
      </c>
      <c r="H433" s="98">
        <v>46229</v>
      </c>
      <c r="I433" s="85">
        <v>895000</v>
      </c>
      <c r="J433" s="96">
        <v>1</v>
      </c>
      <c r="K433" s="106">
        <v>90</v>
      </c>
      <c r="L433" s="94" t="str" cm="1">
        <f t="array" ref="L433">_xlfn.IFS(J433&lt;2,"Fresher",J433&lt;=3,"Mid Level",J433&gt;3,"Experienced")</f>
        <v>Fresher</v>
      </c>
      <c r="M433" s="90" t="str" cm="1">
        <f t="array" ref="M433">_xlfn.IFS(I433&gt;=600000,"High",I433&gt;=450000,"Medium",I433&lt;450000,"Low")</f>
        <v>High</v>
      </c>
      <c r="N433" s="94">
        <f t="shared" si="23"/>
        <v>0.01</v>
      </c>
      <c r="O433" s="92" t="str">
        <f t="shared" si="24"/>
        <v>Unique</v>
      </c>
      <c r="P433" s="94">
        <f t="shared" si="22"/>
        <v>7</v>
      </c>
    </row>
    <row r="434" spans="1:16">
      <c r="A434" s="115">
        <v>3101432</v>
      </c>
      <c r="B434" s="85" t="s">
        <v>296</v>
      </c>
      <c r="C434" s="96" t="s">
        <v>264</v>
      </c>
      <c r="D434" s="85" t="s">
        <v>12</v>
      </c>
      <c r="E434" s="96" t="s">
        <v>13</v>
      </c>
      <c r="F434" s="96" t="s">
        <v>20</v>
      </c>
      <c r="G434" s="85" t="s">
        <v>21</v>
      </c>
      <c r="H434" s="98">
        <v>46195</v>
      </c>
      <c r="I434" s="85">
        <v>465000</v>
      </c>
      <c r="J434" s="96">
        <v>4</v>
      </c>
      <c r="K434" s="106">
        <v>74</v>
      </c>
      <c r="L434" s="94" t="str" cm="1">
        <f t="array" ref="L434">_xlfn.IFS(J434&lt;2,"Fresher",J434&lt;=3,"Mid Level",J434&gt;3,"Experienced")</f>
        <v>Experienced</v>
      </c>
      <c r="M434" s="90" t="str" cm="1">
        <f t="array" ref="M434">_xlfn.IFS(I434&gt;=600000,"High",I434&gt;=450000,"Medium",I434&lt;450000,"Low")</f>
        <v>Medium</v>
      </c>
      <c r="N434" s="94">
        <f t="shared" si="23"/>
        <v>0.05</v>
      </c>
      <c r="O434" s="92" t="str">
        <f t="shared" si="24"/>
        <v>Unique</v>
      </c>
      <c r="P434" s="94">
        <f t="shared" si="22"/>
        <v>6</v>
      </c>
    </row>
    <row r="435" spans="1:16">
      <c r="A435" s="115">
        <v>3101433</v>
      </c>
      <c r="B435" s="85" t="s">
        <v>271</v>
      </c>
      <c r="C435" s="96" t="s">
        <v>11</v>
      </c>
      <c r="D435" s="85" t="s">
        <v>12</v>
      </c>
      <c r="E435" s="96" t="s">
        <v>303</v>
      </c>
      <c r="F435" s="96" t="s">
        <v>14</v>
      </c>
      <c r="G435" s="85" t="s">
        <v>21</v>
      </c>
      <c r="H435" s="98">
        <v>46200</v>
      </c>
      <c r="I435" s="85">
        <v>565000</v>
      </c>
      <c r="J435" s="96">
        <v>4</v>
      </c>
      <c r="K435" s="106">
        <v>85</v>
      </c>
      <c r="L435" s="94" t="str" cm="1">
        <f t="array" ref="L435">_xlfn.IFS(J435&lt;2,"Fresher",J435&lt;=3,"Mid Level",J435&gt;3,"Experienced")</f>
        <v>Experienced</v>
      </c>
      <c r="M435" s="90" t="str" cm="1">
        <f t="array" ref="M435">_xlfn.IFS(I435&gt;=600000,"High",I435&gt;=450000,"Medium",I435&lt;450000,"Low")</f>
        <v>Medium</v>
      </c>
      <c r="N435" s="94">
        <f t="shared" si="23"/>
        <v>0.02</v>
      </c>
      <c r="O435" s="92" t="str">
        <f t="shared" si="24"/>
        <v>Unique</v>
      </c>
      <c r="P435" s="94">
        <f t="shared" si="22"/>
        <v>6</v>
      </c>
    </row>
    <row r="436" spans="1:16">
      <c r="A436" s="115">
        <v>3101434</v>
      </c>
      <c r="B436" s="85" t="s">
        <v>282</v>
      </c>
      <c r="C436" s="96" t="s">
        <v>258</v>
      </c>
      <c r="D436" s="85" t="s">
        <v>12</v>
      </c>
      <c r="E436" s="96" t="s">
        <v>261</v>
      </c>
      <c r="F436" s="96" t="s">
        <v>14</v>
      </c>
      <c r="G436" s="85" t="s">
        <v>15</v>
      </c>
      <c r="H436" s="98">
        <v>46214</v>
      </c>
      <c r="I436" s="85">
        <v>430000</v>
      </c>
      <c r="J436" s="96">
        <v>5</v>
      </c>
      <c r="K436" s="106">
        <v>94</v>
      </c>
      <c r="L436" s="94" t="str" cm="1">
        <f t="array" ref="L436">_xlfn.IFS(J436&lt;2,"Fresher",J436&lt;=3,"Mid Level",J436&gt;3,"Experienced")</f>
        <v>Experienced</v>
      </c>
      <c r="M436" s="90" t="str" cm="1">
        <f t="array" ref="M436">_xlfn.IFS(I436&gt;=600000,"High",I436&gt;=450000,"Medium",I436&lt;450000,"Low")</f>
        <v>Low</v>
      </c>
      <c r="N436" s="94">
        <f t="shared" si="23"/>
        <v>0.02</v>
      </c>
      <c r="O436" s="92" t="str">
        <f t="shared" si="24"/>
        <v>Unique</v>
      </c>
      <c r="P436" s="94">
        <f t="shared" si="22"/>
        <v>7</v>
      </c>
    </row>
    <row r="437" spans="1:16">
      <c r="A437" s="115">
        <v>3101435</v>
      </c>
      <c r="B437" s="85" t="s">
        <v>304</v>
      </c>
      <c r="C437" s="96" t="s">
        <v>264</v>
      </c>
      <c r="D437" s="85" t="s">
        <v>12</v>
      </c>
      <c r="E437" s="96" t="s">
        <v>23</v>
      </c>
      <c r="F437" s="96" t="s">
        <v>24</v>
      </c>
      <c r="G437" s="85" t="s">
        <v>15</v>
      </c>
      <c r="H437" s="98">
        <v>46286</v>
      </c>
      <c r="I437" s="85">
        <v>435000</v>
      </c>
      <c r="J437" s="96">
        <v>5</v>
      </c>
      <c r="K437" s="106">
        <v>68</v>
      </c>
      <c r="L437" s="94" t="str" cm="1">
        <f t="array" ref="L437">_xlfn.IFS(J437&lt;2,"Fresher",J437&lt;=3,"Mid Level",J437&gt;3,"Experienced")</f>
        <v>Experienced</v>
      </c>
      <c r="M437" s="90" t="str" cm="1">
        <f t="array" ref="M437">_xlfn.IFS(I437&gt;=600000,"High",I437&gt;=450000,"Medium",I437&lt;450000,"Low")</f>
        <v>Low</v>
      </c>
      <c r="N437" s="94">
        <f t="shared" si="23"/>
        <v>0.02</v>
      </c>
      <c r="O437" s="92" t="str">
        <f t="shared" si="24"/>
        <v>Unique</v>
      </c>
      <c r="P437" s="94">
        <f t="shared" si="22"/>
        <v>9</v>
      </c>
    </row>
    <row r="438" spans="1:16">
      <c r="A438" s="115">
        <v>3101436</v>
      </c>
      <c r="B438" s="85" t="s">
        <v>282</v>
      </c>
      <c r="C438" s="96" t="s">
        <v>258</v>
      </c>
      <c r="D438" s="85" t="s">
        <v>32</v>
      </c>
      <c r="E438" s="96" t="s">
        <v>33</v>
      </c>
      <c r="F438" s="96" t="s">
        <v>14</v>
      </c>
      <c r="G438" s="85" t="s">
        <v>15</v>
      </c>
      <c r="H438" s="98">
        <v>46241</v>
      </c>
      <c r="I438" s="85">
        <v>370000</v>
      </c>
      <c r="J438" s="96">
        <v>1</v>
      </c>
      <c r="K438" s="106">
        <v>87</v>
      </c>
      <c r="L438" s="94" t="str" cm="1">
        <f t="array" ref="L438">_xlfn.IFS(J438&lt;2,"Fresher",J438&lt;=3,"Mid Level",J438&gt;3,"Experienced")</f>
        <v>Fresher</v>
      </c>
      <c r="M438" s="90" t="str" cm="1">
        <f t="array" ref="M438">_xlfn.IFS(I438&gt;=600000,"High",I438&gt;=450000,"Medium",I438&lt;450000,"Low")</f>
        <v>Low</v>
      </c>
      <c r="N438" s="94">
        <f t="shared" si="23"/>
        <v>0.02</v>
      </c>
      <c r="O438" s="92" t="str">
        <f t="shared" si="24"/>
        <v>Unique</v>
      </c>
      <c r="P438" s="94">
        <f t="shared" si="22"/>
        <v>8</v>
      </c>
    </row>
    <row r="439" spans="1:16">
      <c r="A439" s="115">
        <v>3101437</v>
      </c>
      <c r="B439" s="85" t="s">
        <v>253</v>
      </c>
      <c r="C439" s="96" t="s">
        <v>260</v>
      </c>
      <c r="D439" s="85" t="s">
        <v>28</v>
      </c>
      <c r="E439" s="96" t="s">
        <v>29</v>
      </c>
      <c r="F439" s="96" t="s">
        <v>24</v>
      </c>
      <c r="G439" s="85" t="s">
        <v>25</v>
      </c>
      <c r="H439" s="98">
        <v>46273</v>
      </c>
      <c r="I439" s="85">
        <v>445000</v>
      </c>
      <c r="J439" s="96">
        <v>2</v>
      </c>
      <c r="K439" s="106">
        <v>82</v>
      </c>
      <c r="L439" s="94" t="str" cm="1">
        <f t="array" ref="L439">_xlfn.IFS(J439&lt;2,"Fresher",J439&lt;=3,"Mid Level",J439&gt;3,"Experienced")</f>
        <v>Mid Level</v>
      </c>
      <c r="M439" s="90" t="str" cm="1">
        <f t="array" ref="M439">_xlfn.IFS(I439&gt;=600000,"High",I439&gt;=450000,"Medium",I439&lt;450000,"Low")</f>
        <v>Low</v>
      </c>
      <c r="N439" s="94">
        <f t="shared" si="23"/>
        <v>0.02</v>
      </c>
      <c r="O439" s="92" t="str">
        <f t="shared" si="24"/>
        <v>Unique</v>
      </c>
      <c r="P439" s="94">
        <f t="shared" si="22"/>
        <v>9</v>
      </c>
    </row>
    <row r="440" spans="1:16">
      <c r="A440" s="115">
        <v>3101438</v>
      </c>
      <c r="B440" s="85" t="s">
        <v>275</v>
      </c>
      <c r="C440" s="96" t="s">
        <v>17</v>
      </c>
      <c r="D440" s="85" t="s">
        <v>12</v>
      </c>
      <c r="E440" s="96" t="s">
        <v>265</v>
      </c>
      <c r="F440" s="96" t="s">
        <v>14</v>
      </c>
      <c r="G440" s="85" t="s">
        <v>21</v>
      </c>
      <c r="H440" s="98">
        <v>46254</v>
      </c>
      <c r="I440" s="85">
        <v>470000</v>
      </c>
      <c r="J440" s="96">
        <v>5</v>
      </c>
      <c r="K440" s="106">
        <v>76</v>
      </c>
      <c r="L440" s="94" t="str" cm="1">
        <f t="array" ref="L440">_xlfn.IFS(J440&lt;2,"Fresher",J440&lt;=3,"Mid Level",J440&gt;3,"Experienced")</f>
        <v>Experienced</v>
      </c>
      <c r="M440" s="90" t="str" cm="1">
        <f t="array" ref="M440">_xlfn.IFS(I440&gt;=600000,"High",I440&gt;=450000,"Medium",I440&lt;450000,"Low")</f>
        <v>Medium</v>
      </c>
      <c r="N440" s="94">
        <f t="shared" si="23"/>
        <v>0.02</v>
      </c>
      <c r="O440" s="92" t="str">
        <f t="shared" si="24"/>
        <v>Unique</v>
      </c>
      <c r="P440" s="94">
        <f t="shared" si="22"/>
        <v>8</v>
      </c>
    </row>
    <row r="441" spans="1:16">
      <c r="A441" s="115">
        <v>3101439</v>
      </c>
      <c r="B441" s="85" t="s">
        <v>307</v>
      </c>
      <c r="C441" s="96" t="s">
        <v>268</v>
      </c>
      <c r="D441" s="85" t="s">
        <v>28</v>
      </c>
      <c r="E441" s="96" t="s">
        <v>29</v>
      </c>
      <c r="F441" s="96" t="s">
        <v>34</v>
      </c>
      <c r="G441" s="85" t="s">
        <v>15</v>
      </c>
      <c r="H441" s="98">
        <v>46182</v>
      </c>
      <c r="I441" s="85">
        <v>405000</v>
      </c>
      <c r="J441" s="96">
        <v>3</v>
      </c>
      <c r="K441" s="106">
        <v>88</v>
      </c>
      <c r="L441" s="94" t="str" cm="1">
        <f t="array" ref="L441">_xlfn.IFS(J441&lt;2,"Fresher",J441&lt;=3,"Mid Level",J441&gt;3,"Experienced")</f>
        <v>Mid Level</v>
      </c>
      <c r="M441" s="90" t="str" cm="1">
        <f t="array" ref="M441">_xlfn.IFS(I441&gt;=600000,"High",I441&gt;=450000,"Medium",I441&lt;450000,"Low")</f>
        <v>Low</v>
      </c>
      <c r="N441" s="94">
        <f t="shared" si="23"/>
        <v>0.01</v>
      </c>
      <c r="O441" s="92" t="str">
        <f t="shared" si="24"/>
        <v>Unique</v>
      </c>
      <c r="P441" s="94">
        <f t="shared" si="22"/>
        <v>6</v>
      </c>
    </row>
    <row r="442" spans="1:16">
      <c r="A442" s="115">
        <v>3101440</v>
      </c>
      <c r="B442" s="85" t="s">
        <v>281</v>
      </c>
      <c r="C442" s="96" t="s">
        <v>268</v>
      </c>
      <c r="D442" s="85" t="s">
        <v>12</v>
      </c>
      <c r="E442" s="96" t="s">
        <v>13</v>
      </c>
      <c r="F442" s="96" t="s">
        <v>24</v>
      </c>
      <c r="G442" s="85" t="s">
        <v>15</v>
      </c>
      <c r="H442" s="98">
        <v>46254</v>
      </c>
      <c r="I442" s="85">
        <v>590000</v>
      </c>
      <c r="J442" s="96">
        <v>4</v>
      </c>
      <c r="K442" s="106">
        <v>91</v>
      </c>
      <c r="L442" s="94" t="str" cm="1">
        <f t="array" ref="L442">_xlfn.IFS(J442&lt;2,"Fresher",J442&lt;=3,"Mid Level",J442&gt;3,"Experienced")</f>
        <v>Experienced</v>
      </c>
      <c r="M442" s="90" t="str" cm="1">
        <f t="array" ref="M442">_xlfn.IFS(I442&gt;=600000,"High",I442&gt;=450000,"Medium",I442&lt;450000,"Low")</f>
        <v>Medium</v>
      </c>
      <c r="N442" s="94">
        <f t="shared" si="23"/>
        <v>0.02</v>
      </c>
      <c r="O442" s="92" t="str">
        <f t="shared" si="24"/>
        <v>Unique</v>
      </c>
      <c r="P442" s="94">
        <f t="shared" si="22"/>
        <v>8</v>
      </c>
    </row>
    <row r="443" spans="1:16">
      <c r="A443" s="115">
        <v>3101441</v>
      </c>
      <c r="B443" s="85" t="s">
        <v>310</v>
      </c>
      <c r="C443" s="96" t="s">
        <v>264</v>
      </c>
      <c r="D443" s="85" t="s">
        <v>12</v>
      </c>
      <c r="E443" s="96" t="s">
        <v>265</v>
      </c>
      <c r="F443" s="96" t="s">
        <v>20</v>
      </c>
      <c r="G443" s="85" t="s">
        <v>21</v>
      </c>
      <c r="H443" s="98">
        <v>46179</v>
      </c>
      <c r="I443" s="85">
        <v>700000</v>
      </c>
      <c r="J443" s="96">
        <v>1</v>
      </c>
      <c r="K443" s="106">
        <v>69</v>
      </c>
      <c r="L443" s="94" t="str" cm="1">
        <f t="array" ref="L443">_xlfn.IFS(J443&lt;2,"Fresher",J443&lt;=3,"Mid Level",J443&gt;3,"Experienced")</f>
        <v>Fresher</v>
      </c>
      <c r="M443" s="90" t="str" cm="1">
        <f t="array" ref="M443">_xlfn.IFS(I443&gt;=600000,"High",I443&gt;=450000,"Medium",I443&lt;450000,"Low")</f>
        <v>High</v>
      </c>
      <c r="N443" s="94">
        <f t="shared" si="23"/>
        <v>0.05</v>
      </c>
      <c r="O443" s="92" t="str">
        <f t="shared" si="24"/>
        <v>Unique</v>
      </c>
      <c r="P443" s="94">
        <f t="shared" si="22"/>
        <v>6</v>
      </c>
    </row>
    <row r="444" spans="1:16">
      <c r="A444" s="115">
        <v>3101442</v>
      </c>
      <c r="B444" s="85" t="s">
        <v>314</v>
      </c>
      <c r="C444" s="96" t="s">
        <v>264</v>
      </c>
      <c r="D444" s="85" t="s">
        <v>18</v>
      </c>
      <c r="E444" s="96" t="s">
        <v>19</v>
      </c>
      <c r="F444" s="96" t="s">
        <v>24</v>
      </c>
      <c r="G444" s="85" t="s">
        <v>21</v>
      </c>
      <c r="H444" s="98">
        <v>46179</v>
      </c>
      <c r="I444" s="85">
        <v>405000</v>
      </c>
      <c r="J444" s="96">
        <v>3</v>
      </c>
      <c r="K444" s="106">
        <v>95</v>
      </c>
      <c r="L444" s="94" t="str" cm="1">
        <f t="array" ref="L444">_xlfn.IFS(J444&lt;2,"Fresher",J444&lt;=3,"Mid Level",J444&gt;3,"Experienced")</f>
        <v>Mid Level</v>
      </c>
      <c r="M444" s="90" t="str" cm="1">
        <f t="array" ref="M444">_xlfn.IFS(I444&gt;=600000,"High",I444&gt;=450000,"Medium",I444&lt;450000,"Low")</f>
        <v>Low</v>
      </c>
      <c r="N444" s="94">
        <f t="shared" si="23"/>
        <v>0.02</v>
      </c>
      <c r="O444" s="92" t="str">
        <f t="shared" si="24"/>
        <v>Duplicate</v>
      </c>
      <c r="P444" s="94">
        <f t="shared" si="22"/>
        <v>6</v>
      </c>
    </row>
    <row r="445" spans="1:16">
      <c r="A445" s="115">
        <v>3101443</v>
      </c>
      <c r="B445" s="85" t="s">
        <v>257</v>
      </c>
      <c r="C445" s="96" t="s">
        <v>258</v>
      </c>
      <c r="D445" s="85" t="s">
        <v>12</v>
      </c>
      <c r="E445" s="96" t="s">
        <v>13</v>
      </c>
      <c r="F445" s="96" t="s">
        <v>24</v>
      </c>
      <c r="G445" s="85" t="s">
        <v>25</v>
      </c>
      <c r="H445" s="98">
        <v>46209</v>
      </c>
      <c r="I445" s="85">
        <v>510000</v>
      </c>
      <c r="J445" s="96">
        <v>4</v>
      </c>
      <c r="K445" s="106">
        <v>73</v>
      </c>
      <c r="L445" s="94" t="str" cm="1">
        <f t="array" ref="L445">_xlfn.IFS(J445&lt;2,"Fresher",J445&lt;=3,"Mid Level",J445&gt;3,"Experienced")</f>
        <v>Experienced</v>
      </c>
      <c r="M445" s="90" t="str" cm="1">
        <f t="array" ref="M445">_xlfn.IFS(I445&gt;=600000,"High",I445&gt;=450000,"Medium",I445&lt;450000,"Low")</f>
        <v>Medium</v>
      </c>
      <c r="N445" s="94">
        <f t="shared" si="23"/>
        <v>0.02</v>
      </c>
      <c r="O445" s="92" t="str">
        <f t="shared" si="24"/>
        <v>Unique</v>
      </c>
      <c r="P445" s="94">
        <f t="shared" si="22"/>
        <v>7</v>
      </c>
    </row>
    <row r="446" spans="1:16">
      <c r="A446" s="115">
        <v>3101444</v>
      </c>
      <c r="B446" s="85" t="s">
        <v>274</v>
      </c>
      <c r="C446" s="96" t="s">
        <v>27</v>
      </c>
      <c r="D446" s="85" t="s">
        <v>12</v>
      </c>
      <c r="E446" s="96" t="s">
        <v>265</v>
      </c>
      <c r="F446" s="96" t="s">
        <v>20</v>
      </c>
      <c r="G446" s="85" t="s">
        <v>256</v>
      </c>
      <c r="H446" s="98">
        <v>46243</v>
      </c>
      <c r="I446" s="85">
        <v>445000</v>
      </c>
      <c r="J446" s="96">
        <v>5</v>
      </c>
      <c r="K446" s="106">
        <v>84</v>
      </c>
      <c r="L446" s="94" t="str" cm="1">
        <f t="array" ref="L446">_xlfn.IFS(J446&lt;2,"Fresher",J446&lt;=3,"Mid Level",J446&gt;3,"Experienced")</f>
        <v>Experienced</v>
      </c>
      <c r="M446" s="90" t="str" cm="1">
        <f t="array" ref="M446">_xlfn.IFS(I446&gt;=600000,"High",I446&gt;=450000,"Medium",I446&lt;450000,"Low")</f>
        <v>Low</v>
      </c>
      <c r="N446" s="94">
        <f t="shared" si="23"/>
        <v>0.05</v>
      </c>
      <c r="O446" s="92" t="str">
        <f t="shared" si="24"/>
        <v>Unique</v>
      </c>
      <c r="P446" s="94">
        <f t="shared" si="22"/>
        <v>8</v>
      </c>
    </row>
    <row r="447" spans="1:16">
      <c r="A447" s="115">
        <v>3101445</v>
      </c>
      <c r="B447" s="85" t="s">
        <v>290</v>
      </c>
      <c r="C447" s="96" t="s">
        <v>17</v>
      </c>
      <c r="D447" s="85" t="s">
        <v>28</v>
      </c>
      <c r="E447" s="96" t="s">
        <v>297</v>
      </c>
      <c r="F447" s="96" t="s">
        <v>34</v>
      </c>
      <c r="G447" s="85" t="s">
        <v>25</v>
      </c>
      <c r="H447" s="98">
        <v>46164</v>
      </c>
      <c r="I447" s="85">
        <v>460000</v>
      </c>
      <c r="J447" s="96">
        <v>0</v>
      </c>
      <c r="K447" s="106">
        <v>79</v>
      </c>
      <c r="L447" s="94" t="str" cm="1">
        <f t="array" ref="L447">_xlfn.IFS(J447&lt;2,"Fresher",J447&lt;=3,"Mid Level",J447&gt;3,"Experienced")</f>
        <v>Fresher</v>
      </c>
      <c r="M447" s="90" t="str" cm="1">
        <f t="array" ref="M447">_xlfn.IFS(I447&gt;=600000,"High",I447&gt;=450000,"Medium",I447&lt;450000,"Low")</f>
        <v>Medium</v>
      </c>
      <c r="N447" s="94">
        <f t="shared" si="23"/>
        <v>0.01</v>
      </c>
      <c r="O447" s="92" t="str">
        <f t="shared" si="24"/>
        <v>Unique</v>
      </c>
      <c r="P447" s="94">
        <f t="shared" si="22"/>
        <v>5</v>
      </c>
    </row>
    <row r="448" spans="1:16">
      <c r="A448" s="115">
        <v>3101446</v>
      </c>
      <c r="B448" s="85" t="s">
        <v>45</v>
      </c>
      <c r="C448" s="96" t="s">
        <v>260</v>
      </c>
      <c r="D448" s="85" t="s">
        <v>18</v>
      </c>
      <c r="E448" s="96" t="s">
        <v>39</v>
      </c>
      <c r="F448" s="96" t="s">
        <v>14</v>
      </c>
      <c r="G448" s="85" t="s">
        <v>25</v>
      </c>
      <c r="H448" s="98">
        <v>46213</v>
      </c>
      <c r="I448" s="85">
        <v>485000</v>
      </c>
      <c r="J448" s="96">
        <v>3</v>
      </c>
      <c r="K448" s="106">
        <v>71</v>
      </c>
      <c r="L448" s="94" t="str" cm="1">
        <f t="array" ref="L448">_xlfn.IFS(J448&lt;2,"Fresher",J448&lt;=3,"Mid Level",J448&gt;3,"Experienced")</f>
        <v>Mid Level</v>
      </c>
      <c r="M448" s="90" t="str" cm="1">
        <f t="array" ref="M448">_xlfn.IFS(I448&gt;=600000,"High",I448&gt;=450000,"Medium",I448&lt;450000,"Low")</f>
        <v>Medium</v>
      </c>
      <c r="N448" s="94">
        <f t="shared" si="23"/>
        <v>0.02</v>
      </c>
      <c r="O448" s="92" t="str">
        <f t="shared" si="24"/>
        <v>Unique</v>
      </c>
      <c r="P448" s="94">
        <f t="shared" si="22"/>
        <v>7</v>
      </c>
    </row>
    <row r="449" spans="1:16">
      <c r="A449" s="115">
        <v>3101447</v>
      </c>
      <c r="B449" s="85" t="s">
        <v>253</v>
      </c>
      <c r="C449" s="96" t="s">
        <v>264</v>
      </c>
      <c r="D449" s="85" t="s">
        <v>32</v>
      </c>
      <c r="E449" s="96" t="s">
        <v>33</v>
      </c>
      <c r="F449" s="96" t="s">
        <v>24</v>
      </c>
      <c r="G449" s="85" t="s">
        <v>25</v>
      </c>
      <c r="H449" s="98">
        <v>46180</v>
      </c>
      <c r="I449" s="85">
        <v>385000</v>
      </c>
      <c r="J449" s="96">
        <v>4</v>
      </c>
      <c r="K449" s="106">
        <v>89</v>
      </c>
      <c r="L449" s="94" t="str" cm="1">
        <f t="array" ref="L449">_xlfn.IFS(J449&lt;2,"Fresher",J449&lt;=3,"Mid Level",J449&gt;3,"Experienced")</f>
        <v>Experienced</v>
      </c>
      <c r="M449" s="90" t="str" cm="1">
        <f t="array" ref="M449">_xlfn.IFS(I449&gt;=600000,"High",I449&gt;=450000,"Medium",I449&lt;450000,"Low")</f>
        <v>Low</v>
      </c>
      <c r="N449" s="94">
        <f t="shared" si="23"/>
        <v>0.02</v>
      </c>
      <c r="O449" s="92" t="str">
        <f t="shared" si="24"/>
        <v>Unique</v>
      </c>
      <c r="P449" s="94">
        <f t="shared" si="22"/>
        <v>6</v>
      </c>
    </row>
    <row r="450" spans="1:16">
      <c r="A450" s="115">
        <v>3101448</v>
      </c>
      <c r="B450" s="85" t="s">
        <v>289</v>
      </c>
      <c r="C450" s="96" t="s">
        <v>264</v>
      </c>
      <c r="D450" s="85" t="s">
        <v>18</v>
      </c>
      <c r="E450" s="96" t="s">
        <v>39</v>
      </c>
      <c r="F450" s="96" t="s">
        <v>24</v>
      </c>
      <c r="G450" s="85" t="s">
        <v>256</v>
      </c>
      <c r="H450" s="98">
        <v>46191</v>
      </c>
      <c r="I450" s="85">
        <v>440000</v>
      </c>
      <c r="J450" s="96">
        <v>1</v>
      </c>
      <c r="K450" s="106">
        <v>67</v>
      </c>
      <c r="L450" s="94" t="str" cm="1">
        <f t="array" ref="L450">_xlfn.IFS(J450&lt;2,"Fresher",J450&lt;=3,"Mid Level",J450&gt;3,"Experienced")</f>
        <v>Fresher</v>
      </c>
      <c r="M450" s="90" t="str" cm="1">
        <f t="array" ref="M450">_xlfn.IFS(I450&gt;=600000,"High",I450&gt;=450000,"Medium",I450&lt;450000,"Low")</f>
        <v>Low</v>
      </c>
      <c r="N450" s="94">
        <f t="shared" si="23"/>
        <v>0.02</v>
      </c>
      <c r="O450" s="92" t="str">
        <f t="shared" si="24"/>
        <v>Unique</v>
      </c>
      <c r="P450" s="94">
        <f t="shared" si="22"/>
        <v>6</v>
      </c>
    </row>
    <row r="451" spans="1:16">
      <c r="A451" s="115">
        <v>3101449</v>
      </c>
      <c r="B451" s="85" t="s">
        <v>255</v>
      </c>
      <c r="C451" s="96" t="s">
        <v>17</v>
      </c>
      <c r="D451" s="85" t="s">
        <v>12</v>
      </c>
      <c r="E451" s="96" t="s">
        <v>13</v>
      </c>
      <c r="F451" s="96" t="s">
        <v>34</v>
      </c>
      <c r="G451" s="85" t="s">
        <v>15</v>
      </c>
      <c r="H451" s="98">
        <v>46162</v>
      </c>
      <c r="I451" s="85">
        <v>565000</v>
      </c>
      <c r="J451" s="96">
        <v>3</v>
      </c>
      <c r="K451" s="106">
        <v>86</v>
      </c>
      <c r="L451" s="94" t="str" cm="1">
        <f t="array" ref="L451">_xlfn.IFS(J451&lt;2,"Fresher",J451&lt;=3,"Mid Level",J451&gt;3,"Experienced")</f>
        <v>Mid Level</v>
      </c>
      <c r="M451" s="90" t="str" cm="1">
        <f t="array" ref="M451">_xlfn.IFS(I451&gt;=600000,"High",I451&gt;=450000,"Medium",I451&lt;450000,"Low")</f>
        <v>Medium</v>
      </c>
      <c r="N451" s="94">
        <f t="shared" si="23"/>
        <v>0.01</v>
      </c>
      <c r="O451" s="92" t="str">
        <f t="shared" si="24"/>
        <v>Unique</v>
      </c>
      <c r="P451" s="94">
        <f t="shared" ref="P451:P477" si="25">MONTH(H451)</f>
        <v>5</v>
      </c>
    </row>
    <row r="452" spans="1:16">
      <c r="A452" s="115">
        <v>3101450</v>
      </c>
      <c r="B452" s="85" t="s">
        <v>273</v>
      </c>
      <c r="C452" s="96" t="s">
        <v>27</v>
      </c>
      <c r="D452" s="85" t="s">
        <v>28</v>
      </c>
      <c r="E452" s="96" t="s">
        <v>297</v>
      </c>
      <c r="F452" s="96" t="s">
        <v>20</v>
      </c>
      <c r="G452" s="85" t="s">
        <v>256</v>
      </c>
      <c r="H452" s="98">
        <v>46181</v>
      </c>
      <c r="I452" s="85">
        <v>510000</v>
      </c>
      <c r="J452" s="96">
        <v>0</v>
      </c>
      <c r="K452" s="106">
        <v>92</v>
      </c>
      <c r="L452" s="94" t="str" cm="1">
        <f t="array" ref="L452">_xlfn.IFS(J452&lt;2,"Fresher",J452&lt;=3,"Mid Level",J452&gt;3,"Experienced")</f>
        <v>Fresher</v>
      </c>
      <c r="M452" s="90" t="str" cm="1">
        <f t="array" ref="M452">_xlfn.IFS(I452&gt;=600000,"High",I452&gt;=450000,"Medium",I452&lt;450000,"Low")</f>
        <v>Medium</v>
      </c>
      <c r="N452" s="94">
        <f t="shared" ref="N452:N478" si="26">IF(F452="Naukri",2%,IF(F452="LinkedIn",2%,IF(F452="Employee Referral",5%,1%)))</f>
        <v>0.05</v>
      </c>
      <c r="O452" s="92" t="str">
        <f t="shared" ref="O452:O478" si="27">IF(COUNTIF($A$2:$A$478,A452)&gt;1,"Duplicate","Unique")</f>
        <v>Unique</v>
      </c>
      <c r="P452" s="94">
        <f t="shared" si="25"/>
        <v>6</v>
      </c>
    </row>
    <row r="453" spans="1:16">
      <c r="A453" s="115">
        <v>3101451</v>
      </c>
      <c r="B453" s="85" t="s">
        <v>169</v>
      </c>
      <c r="C453" s="96" t="s">
        <v>17</v>
      </c>
      <c r="D453" s="85" t="s">
        <v>12</v>
      </c>
      <c r="E453" s="96" t="s">
        <v>261</v>
      </c>
      <c r="F453" s="96" t="s">
        <v>34</v>
      </c>
      <c r="G453" s="85" t="s">
        <v>25</v>
      </c>
      <c r="H453" s="98">
        <v>46170</v>
      </c>
      <c r="I453" s="85">
        <v>505000</v>
      </c>
      <c r="J453" s="96">
        <v>1</v>
      </c>
      <c r="K453" s="106">
        <v>69</v>
      </c>
      <c r="L453" s="94" t="str" cm="1">
        <f t="array" ref="L453">_xlfn.IFS(J453&lt;2,"Fresher",J453&lt;=3,"Mid Level",J453&gt;3,"Experienced")</f>
        <v>Fresher</v>
      </c>
      <c r="M453" s="90" t="str" cm="1">
        <f t="array" ref="M453">_xlfn.IFS(I453&gt;=600000,"High",I453&gt;=450000,"Medium",I453&lt;450000,"Low")</f>
        <v>Medium</v>
      </c>
      <c r="N453" s="94">
        <f t="shared" si="26"/>
        <v>0.01</v>
      </c>
      <c r="O453" s="92" t="str">
        <f t="shared" si="27"/>
        <v>Unique</v>
      </c>
      <c r="P453" s="94">
        <f t="shared" si="25"/>
        <v>5</v>
      </c>
    </row>
    <row r="454" spans="1:16">
      <c r="A454" s="115">
        <v>3101452</v>
      </c>
      <c r="B454" s="85" t="s">
        <v>255</v>
      </c>
      <c r="C454" s="96" t="s">
        <v>264</v>
      </c>
      <c r="D454" s="85" t="s">
        <v>32</v>
      </c>
      <c r="E454" s="96" t="s">
        <v>300</v>
      </c>
      <c r="F454" s="96" t="s">
        <v>20</v>
      </c>
      <c r="G454" s="85" t="s">
        <v>21</v>
      </c>
      <c r="H454" s="98">
        <v>46210</v>
      </c>
      <c r="I454" s="85">
        <v>345000</v>
      </c>
      <c r="J454" s="96">
        <v>5</v>
      </c>
      <c r="K454" s="106">
        <v>81</v>
      </c>
      <c r="L454" s="94" t="str" cm="1">
        <f t="array" ref="L454">_xlfn.IFS(J454&lt;2,"Fresher",J454&lt;=3,"Mid Level",J454&gt;3,"Experienced")</f>
        <v>Experienced</v>
      </c>
      <c r="M454" s="90" t="str" cm="1">
        <f t="array" ref="M454">_xlfn.IFS(I454&gt;=600000,"High",I454&gt;=450000,"Medium",I454&lt;450000,"Low")</f>
        <v>Low</v>
      </c>
      <c r="N454" s="94">
        <f t="shared" si="26"/>
        <v>0.05</v>
      </c>
      <c r="O454" s="92" t="str">
        <f t="shared" si="27"/>
        <v>Unique</v>
      </c>
      <c r="P454" s="94">
        <f t="shared" si="25"/>
        <v>7</v>
      </c>
    </row>
    <row r="455" spans="1:16">
      <c r="A455" s="115">
        <v>3101453</v>
      </c>
      <c r="B455" s="85" t="s">
        <v>259</v>
      </c>
      <c r="C455" s="96" t="s">
        <v>11</v>
      </c>
      <c r="D455" s="85" t="s">
        <v>12</v>
      </c>
      <c r="E455" s="96" t="s">
        <v>303</v>
      </c>
      <c r="F455" s="96" t="s">
        <v>34</v>
      </c>
      <c r="G455" s="85" t="s">
        <v>256</v>
      </c>
      <c r="H455" s="98">
        <v>46285</v>
      </c>
      <c r="I455" s="85">
        <v>705000</v>
      </c>
      <c r="J455" s="96">
        <v>4</v>
      </c>
      <c r="K455" s="106">
        <v>94</v>
      </c>
      <c r="L455" s="94" t="str" cm="1">
        <f t="array" ref="L455">_xlfn.IFS(J455&lt;2,"Fresher",J455&lt;=3,"Mid Level",J455&gt;3,"Experienced")</f>
        <v>Experienced</v>
      </c>
      <c r="M455" s="90" t="str" cm="1">
        <f t="array" ref="M455">_xlfn.IFS(I455&gt;=600000,"High",I455&gt;=450000,"Medium",I455&lt;450000,"Low")</f>
        <v>High</v>
      </c>
      <c r="N455" s="94">
        <f t="shared" si="26"/>
        <v>0.01</v>
      </c>
      <c r="O455" s="92" t="str">
        <f t="shared" si="27"/>
        <v>Unique</v>
      </c>
      <c r="P455" s="94">
        <f t="shared" si="25"/>
        <v>9</v>
      </c>
    </row>
    <row r="456" spans="1:16">
      <c r="A456" s="115">
        <v>3101454</v>
      </c>
      <c r="B456" s="85" t="s">
        <v>306</v>
      </c>
      <c r="C456" s="96" t="s">
        <v>260</v>
      </c>
      <c r="D456" s="85" t="s">
        <v>32</v>
      </c>
      <c r="E456" s="96" t="s">
        <v>33</v>
      </c>
      <c r="F456" s="96" t="s">
        <v>24</v>
      </c>
      <c r="G456" s="85" t="s">
        <v>15</v>
      </c>
      <c r="H456" s="98">
        <v>46287</v>
      </c>
      <c r="I456" s="85">
        <v>310000</v>
      </c>
      <c r="J456" s="96">
        <v>3</v>
      </c>
      <c r="K456" s="106">
        <v>77</v>
      </c>
      <c r="L456" s="94" t="str" cm="1">
        <f t="array" ref="L456">_xlfn.IFS(J456&lt;2,"Fresher",J456&lt;=3,"Mid Level",J456&gt;3,"Experienced")</f>
        <v>Mid Level</v>
      </c>
      <c r="M456" s="90" t="str" cm="1">
        <f t="array" ref="M456">_xlfn.IFS(I456&gt;=600000,"High",I456&gt;=450000,"Medium",I456&lt;450000,"Low")</f>
        <v>Low</v>
      </c>
      <c r="N456" s="94">
        <f t="shared" si="26"/>
        <v>0.02</v>
      </c>
      <c r="O456" s="92" t="str">
        <f t="shared" si="27"/>
        <v>Unique</v>
      </c>
      <c r="P456" s="94">
        <f t="shared" si="25"/>
        <v>9</v>
      </c>
    </row>
    <row r="457" spans="1:16">
      <c r="A457" s="115">
        <v>3101455</v>
      </c>
      <c r="B457" s="85" t="s">
        <v>307</v>
      </c>
      <c r="C457" s="96" t="s">
        <v>27</v>
      </c>
      <c r="D457" s="85" t="s">
        <v>12</v>
      </c>
      <c r="E457" s="96" t="s">
        <v>303</v>
      </c>
      <c r="F457" s="96" t="s">
        <v>20</v>
      </c>
      <c r="G457" s="85" t="s">
        <v>25</v>
      </c>
      <c r="H457" s="98">
        <v>46221</v>
      </c>
      <c r="I457" s="85">
        <v>875000</v>
      </c>
      <c r="J457" s="96">
        <v>5</v>
      </c>
      <c r="K457" s="106">
        <v>72</v>
      </c>
      <c r="L457" s="94" t="str" cm="1">
        <f t="array" ref="L457">_xlfn.IFS(J457&lt;2,"Fresher",J457&lt;=3,"Mid Level",J457&gt;3,"Experienced")</f>
        <v>Experienced</v>
      </c>
      <c r="M457" s="90" t="str" cm="1">
        <f t="array" ref="M457">_xlfn.IFS(I457&gt;=600000,"High",I457&gt;=450000,"Medium",I457&lt;450000,"Low")</f>
        <v>High</v>
      </c>
      <c r="N457" s="94">
        <f t="shared" si="26"/>
        <v>0.05</v>
      </c>
      <c r="O457" s="92" t="str">
        <f t="shared" si="27"/>
        <v>Unique</v>
      </c>
      <c r="P457" s="94">
        <f t="shared" si="25"/>
        <v>7</v>
      </c>
    </row>
    <row r="458" spans="1:16">
      <c r="A458" s="115">
        <v>3101456</v>
      </c>
      <c r="B458" s="85" t="s">
        <v>252</v>
      </c>
      <c r="C458" s="96" t="s">
        <v>11</v>
      </c>
      <c r="D458" s="85" t="s">
        <v>28</v>
      </c>
      <c r="E458" s="96" t="s">
        <v>297</v>
      </c>
      <c r="F458" s="96" t="s">
        <v>14</v>
      </c>
      <c r="G458" s="85" t="s">
        <v>15</v>
      </c>
      <c r="H458" s="98">
        <v>46206</v>
      </c>
      <c r="I458" s="85">
        <v>475000</v>
      </c>
      <c r="J458" s="96">
        <v>5</v>
      </c>
      <c r="K458" s="106">
        <v>90</v>
      </c>
      <c r="L458" s="94" t="str" cm="1">
        <f t="array" ref="L458">_xlfn.IFS(J458&lt;2,"Fresher",J458&lt;=3,"Mid Level",J458&gt;3,"Experienced")</f>
        <v>Experienced</v>
      </c>
      <c r="M458" s="90" t="str" cm="1">
        <f t="array" ref="M458">_xlfn.IFS(I458&gt;=600000,"High",I458&gt;=450000,"Medium",I458&lt;450000,"Low")</f>
        <v>Medium</v>
      </c>
      <c r="N458" s="94">
        <f t="shared" si="26"/>
        <v>0.02</v>
      </c>
      <c r="O458" s="92" t="str">
        <f t="shared" si="27"/>
        <v>Unique</v>
      </c>
      <c r="P458" s="94">
        <f t="shared" si="25"/>
        <v>7</v>
      </c>
    </row>
    <row r="459" spans="1:16">
      <c r="A459" s="115">
        <v>3101457</v>
      </c>
      <c r="B459" s="85" t="s">
        <v>293</v>
      </c>
      <c r="C459" s="96" t="s">
        <v>258</v>
      </c>
      <c r="D459" s="85" t="s">
        <v>18</v>
      </c>
      <c r="E459" s="96" t="s">
        <v>19</v>
      </c>
      <c r="F459" s="96" t="s">
        <v>20</v>
      </c>
      <c r="G459" s="85" t="s">
        <v>15</v>
      </c>
      <c r="H459" s="98">
        <v>46261</v>
      </c>
      <c r="I459" s="85">
        <v>470000</v>
      </c>
      <c r="J459" s="96">
        <v>5</v>
      </c>
      <c r="K459" s="106">
        <v>74</v>
      </c>
      <c r="L459" s="94" t="str" cm="1">
        <f t="array" ref="L459">_xlfn.IFS(J459&lt;2,"Fresher",J459&lt;=3,"Mid Level",J459&gt;3,"Experienced")</f>
        <v>Experienced</v>
      </c>
      <c r="M459" s="90" t="str" cm="1">
        <f t="array" ref="M459">_xlfn.IFS(I459&gt;=600000,"High",I459&gt;=450000,"Medium",I459&lt;450000,"Low")</f>
        <v>Medium</v>
      </c>
      <c r="N459" s="94">
        <f t="shared" si="26"/>
        <v>0.05</v>
      </c>
      <c r="O459" s="92" t="str">
        <f t="shared" si="27"/>
        <v>Unique</v>
      </c>
      <c r="P459" s="94">
        <f t="shared" si="25"/>
        <v>8</v>
      </c>
    </row>
    <row r="460" spans="1:16">
      <c r="A460" s="115">
        <v>3101458</v>
      </c>
      <c r="B460" s="85" t="s">
        <v>294</v>
      </c>
      <c r="C460" s="96" t="s">
        <v>11</v>
      </c>
      <c r="D460" s="85" t="s">
        <v>28</v>
      </c>
      <c r="E460" s="96" t="s">
        <v>29</v>
      </c>
      <c r="F460" s="96" t="s">
        <v>34</v>
      </c>
      <c r="G460" s="85" t="s">
        <v>15</v>
      </c>
      <c r="H460" s="98">
        <v>46206</v>
      </c>
      <c r="I460" s="85">
        <v>410000</v>
      </c>
      <c r="J460" s="96">
        <v>5</v>
      </c>
      <c r="K460" s="106">
        <v>85</v>
      </c>
      <c r="L460" s="94" t="str" cm="1">
        <f t="array" ref="L460">_xlfn.IFS(J460&lt;2,"Fresher",J460&lt;=3,"Mid Level",J460&gt;3,"Experienced")</f>
        <v>Experienced</v>
      </c>
      <c r="M460" s="90" t="str" cm="1">
        <f t="array" ref="M460">_xlfn.IFS(I460&gt;=600000,"High",I460&gt;=450000,"Medium",I460&lt;450000,"Low")</f>
        <v>Low</v>
      </c>
      <c r="N460" s="94">
        <f t="shared" si="26"/>
        <v>0.01</v>
      </c>
      <c r="O460" s="92" t="str">
        <f t="shared" si="27"/>
        <v>Unique</v>
      </c>
      <c r="P460" s="94">
        <f t="shared" si="25"/>
        <v>7</v>
      </c>
    </row>
    <row r="461" spans="1:16">
      <c r="A461" s="115">
        <v>3101459</v>
      </c>
      <c r="B461" s="85" t="s">
        <v>311</v>
      </c>
      <c r="C461" s="96" t="s">
        <v>260</v>
      </c>
      <c r="D461" s="85" t="s">
        <v>18</v>
      </c>
      <c r="E461" s="96" t="s">
        <v>19</v>
      </c>
      <c r="F461" s="96" t="s">
        <v>34</v>
      </c>
      <c r="G461" s="85" t="s">
        <v>15</v>
      </c>
      <c r="H461" s="98">
        <v>46280</v>
      </c>
      <c r="I461" s="85">
        <v>460000</v>
      </c>
      <c r="J461" s="96">
        <v>0</v>
      </c>
      <c r="K461" s="106">
        <v>94</v>
      </c>
      <c r="L461" s="94" t="str" cm="1">
        <f t="array" ref="L461">_xlfn.IFS(J461&lt;2,"Fresher",J461&lt;=3,"Mid Level",J461&gt;3,"Experienced")</f>
        <v>Fresher</v>
      </c>
      <c r="M461" s="90" t="str" cm="1">
        <f t="array" ref="M461">_xlfn.IFS(I461&gt;=600000,"High",I461&gt;=450000,"Medium",I461&lt;450000,"Low")</f>
        <v>Medium</v>
      </c>
      <c r="N461" s="94">
        <f t="shared" si="26"/>
        <v>0.01</v>
      </c>
      <c r="O461" s="92" t="str">
        <f t="shared" si="27"/>
        <v>Unique</v>
      </c>
      <c r="P461" s="94">
        <f t="shared" si="25"/>
        <v>9</v>
      </c>
    </row>
    <row r="462" spans="1:16">
      <c r="A462" s="115">
        <v>3101460</v>
      </c>
      <c r="B462" s="85" t="s">
        <v>305</v>
      </c>
      <c r="C462" s="96" t="s">
        <v>27</v>
      </c>
      <c r="D462" s="85" t="s">
        <v>12</v>
      </c>
      <c r="E462" s="96" t="s">
        <v>13</v>
      </c>
      <c r="F462" s="96" t="s">
        <v>20</v>
      </c>
      <c r="G462" s="85" t="s">
        <v>25</v>
      </c>
      <c r="H462" s="98">
        <v>46164</v>
      </c>
      <c r="I462" s="85">
        <v>530000</v>
      </c>
      <c r="J462" s="96">
        <v>4</v>
      </c>
      <c r="K462" s="106">
        <v>68</v>
      </c>
      <c r="L462" s="94" t="str" cm="1">
        <f t="array" ref="L462">_xlfn.IFS(J462&lt;2,"Fresher",J462&lt;=3,"Mid Level",J462&gt;3,"Experienced")</f>
        <v>Experienced</v>
      </c>
      <c r="M462" s="90" t="str" cm="1">
        <f t="array" ref="M462">_xlfn.IFS(I462&gt;=600000,"High",I462&gt;=450000,"Medium",I462&lt;450000,"Low")</f>
        <v>Medium</v>
      </c>
      <c r="N462" s="94">
        <f t="shared" si="26"/>
        <v>0.05</v>
      </c>
      <c r="O462" s="92" t="str">
        <f t="shared" si="27"/>
        <v>Unique</v>
      </c>
      <c r="P462" s="94">
        <f t="shared" si="25"/>
        <v>5</v>
      </c>
    </row>
    <row r="463" spans="1:16">
      <c r="A463" s="115">
        <v>3101461</v>
      </c>
      <c r="B463" s="85" t="s">
        <v>281</v>
      </c>
      <c r="C463" s="96" t="s">
        <v>17</v>
      </c>
      <c r="D463" s="85" t="s">
        <v>12</v>
      </c>
      <c r="E463" s="96" t="s">
        <v>13</v>
      </c>
      <c r="F463" s="96" t="s">
        <v>14</v>
      </c>
      <c r="G463" s="85" t="s">
        <v>21</v>
      </c>
      <c r="H463" s="98">
        <v>46182</v>
      </c>
      <c r="I463" s="85">
        <v>560000</v>
      </c>
      <c r="J463" s="96">
        <v>2</v>
      </c>
      <c r="K463" s="106">
        <v>87</v>
      </c>
      <c r="L463" s="94" t="str" cm="1">
        <f t="array" ref="L463">_xlfn.IFS(J463&lt;2,"Fresher",J463&lt;=3,"Mid Level",J463&gt;3,"Experienced")</f>
        <v>Mid Level</v>
      </c>
      <c r="M463" s="90" t="str" cm="1">
        <f t="array" ref="M463">_xlfn.IFS(I463&gt;=600000,"High",I463&gt;=450000,"Medium",I463&lt;450000,"Low")</f>
        <v>Medium</v>
      </c>
      <c r="N463" s="94">
        <f t="shared" si="26"/>
        <v>0.02</v>
      </c>
      <c r="O463" s="92" t="str">
        <f t="shared" si="27"/>
        <v>Unique</v>
      </c>
      <c r="P463" s="94">
        <f t="shared" si="25"/>
        <v>6</v>
      </c>
    </row>
    <row r="464" spans="1:16">
      <c r="A464" s="115">
        <v>3101462</v>
      </c>
      <c r="B464" s="85" t="s">
        <v>277</v>
      </c>
      <c r="C464" s="96" t="s">
        <v>11</v>
      </c>
      <c r="D464" s="85" t="s">
        <v>28</v>
      </c>
      <c r="E464" s="96" t="s">
        <v>297</v>
      </c>
      <c r="F464" s="96" t="s">
        <v>34</v>
      </c>
      <c r="G464" s="85" t="s">
        <v>25</v>
      </c>
      <c r="H464" s="98">
        <v>46211</v>
      </c>
      <c r="I464" s="85">
        <v>425000</v>
      </c>
      <c r="J464" s="96">
        <v>5</v>
      </c>
      <c r="K464" s="106">
        <v>82</v>
      </c>
      <c r="L464" s="94" t="str" cm="1">
        <f t="array" ref="L464">_xlfn.IFS(J464&lt;2,"Fresher",J464&lt;=3,"Mid Level",J464&gt;3,"Experienced")</f>
        <v>Experienced</v>
      </c>
      <c r="M464" s="90" t="str" cm="1">
        <f t="array" ref="M464">_xlfn.IFS(I464&gt;=600000,"High",I464&gt;=450000,"Medium",I464&lt;450000,"Low")</f>
        <v>Low</v>
      </c>
      <c r="N464" s="94">
        <f t="shared" si="26"/>
        <v>0.01</v>
      </c>
      <c r="O464" s="92" t="str">
        <f t="shared" si="27"/>
        <v>Unique</v>
      </c>
      <c r="P464" s="94">
        <f t="shared" si="25"/>
        <v>7</v>
      </c>
    </row>
    <row r="465" spans="1:16">
      <c r="A465" s="115">
        <v>3101463</v>
      </c>
      <c r="B465" s="85" t="s">
        <v>293</v>
      </c>
      <c r="C465" s="96" t="s">
        <v>11</v>
      </c>
      <c r="D465" s="85" t="s">
        <v>32</v>
      </c>
      <c r="E465" s="96" t="s">
        <v>33</v>
      </c>
      <c r="F465" s="96" t="s">
        <v>24</v>
      </c>
      <c r="G465" s="85" t="s">
        <v>256</v>
      </c>
      <c r="H465" s="98">
        <v>46167</v>
      </c>
      <c r="I465" s="85">
        <v>280000</v>
      </c>
      <c r="J465" s="96">
        <v>0</v>
      </c>
      <c r="K465" s="106">
        <v>76</v>
      </c>
      <c r="L465" s="94" t="str" cm="1">
        <f t="array" ref="L465">_xlfn.IFS(J465&lt;2,"Fresher",J465&lt;=3,"Mid Level",J465&gt;3,"Experienced")</f>
        <v>Fresher</v>
      </c>
      <c r="M465" s="90" t="str" cm="1">
        <f t="array" ref="M465">_xlfn.IFS(I465&gt;=600000,"High",I465&gt;=450000,"Medium",I465&lt;450000,"Low")</f>
        <v>Low</v>
      </c>
      <c r="N465" s="94">
        <f t="shared" si="26"/>
        <v>0.02</v>
      </c>
      <c r="O465" s="92" t="str">
        <f t="shared" si="27"/>
        <v>Unique</v>
      </c>
      <c r="P465" s="94">
        <f t="shared" si="25"/>
        <v>5</v>
      </c>
    </row>
    <row r="466" spans="1:16">
      <c r="A466" s="115">
        <v>3101464</v>
      </c>
      <c r="B466" s="85" t="s">
        <v>283</v>
      </c>
      <c r="C466" s="96" t="s">
        <v>11</v>
      </c>
      <c r="D466" s="85" t="s">
        <v>12</v>
      </c>
      <c r="E466" s="96" t="s">
        <v>303</v>
      </c>
      <c r="F466" s="96" t="s">
        <v>20</v>
      </c>
      <c r="G466" s="85" t="s">
        <v>25</v>
      </c>
      <c r="H466" s="98">
        <v>46220</v>
      </c>
      <c r="I466" s="85">
        <v>835000</v>
      </c>
      <c r="J466" s="96">
        <v>2</v>
      </c>
      <c r="K466" s="106">
        <v>88</v>
      </c>
      <c r="L466" s="94" t="str" cm="1">
        <f t="array" ref="L466">_xlfn.IFS(J466&lt;2,"Fresher",J466&lt;=3,"Mid Level",J466&gt;3,"Experienced")</f>
        <v>Mid Level</v>
      </c>
      <c r="M466" s="90" t="str" cm="1">
        <f t="array" ref="M466">_xlfn.IFS(I466&gt;=600000,"High",I466&gt;=450000,"Medium",I466&lt;450000,"Low")</f>
        <v>High</v>
      </c>
      <c r="N466" s="94">
        <f t="shared" si="26"/>
        <v>0.05</v>
      </c>
      <c r="O466" s="92" t="str">
        <f t="shared" si="27"/>
        <v>Unique</v>
      </c>
      <c r="P466" s="94">
        <f t="shared" si="25"/>
        <v>7</v>
      </c>
    </row>
    <row r="467" spans="1:16">
      <c r="A467" s="115">
        <v>3101465</v>
      </c>
      <c r="B467" s="85" t="s">
        <v>309</v>
      </c>
      <c r="C467" s="96" t="s">
        <v>11</v>
      </c>
      <c r="D467" s="85" t="s">
        <v>28</v>
      </c>
      <c r="E467" s="96" t="s">
        <v>297</v>
      </c>
      <c r="F467" s="96" t="s">
        <v>14</v>
      </c>
      <c r="G467" s="85" t="s">
        <v>256</v>
      </c>
      <c r="H467" s="98">
        <v>46243</v>
      </c>
      <c r="I467" s="85">
        <v>505000</v>
      </c>
      <c r="J467" s="96">
        <v>2</v>
      </c>
      <c r="K467" s="106">
        <v>91</v>
      </c>
      <c r="L467" s="94" t="str" cm="1">
        <f t="array" ref="L467">_xlfn.IFS(J467&lt;2,"Fresher",J467&lt;=3,"Mid Level",J467&gt;3,"Experienced")</f>
        <v>Mid Level</v>
      </c>
      <c r="M467" s="90" t="str" cm="1">
        <f t="array" ref="M467">_xlfn.IFS(I467&gt;=600000,"High",I467&gt;=450000,"Medium",I467&lt;450000,"Low")</f>
        <v>Medium</v>
      </c>
      <c r="N467" s="94">
        <f t="shared" si="26"/>
        <v>0.02</v>
      </c>
      <c r="O467" s="92" t="str">
        <f t="shared" si="27"/>
        <v>Unique</v>
      </c>
      <c r="P467" s="94">
        <f t="shared" si="25"/>
        <v>8</v>
      </c>
    </row>
    <row r="468" spans="1:16">
      <c r="A468" s="115">
        <v>3101466</v>
      </c>
      <c r="B468" s="85" t="s">
        <v>299</v>
      </c>
      <c r="C468" s="96" t="s">
        <v>38</v>
      </c>
      <c r="D468" s="85" t="s">
        <v>12</v>
      </c>
      <c r="E468" s="96" t="s">
        <v>23</v>
      </c>
      <c r="F468" s="96" t="s">
        <v>34</v>
      </c>
      <c r="G468" s="85" t="s">
        <v>21</v>
      </c>
      <c r="H468" s="98">
        <v>46169</v>
      </c>
      <c r="I468" s="85">
        <v>625000</v>
      </c>
      <c r="J468" s="96">
        <v>2</v>
      </c>
      <c r="K468" s="106">
        <v>69</v>
      </c>
      <c r="L468" s="94" t="str" cm="1">
        <f t="array" ref="L468">_xlfn.IFS(J468&lt;2,"Fresher",J468&lt;=3,"Mid Level",J468&gt;3,"Experienced")</f>
        <v>Mid Level</v>
      </c>
      <c r="M468" s="90" t="str" cm="1">
        <f t="array" ref="M468">_xlfn.IFS(I468&gt;=600000,"High",I468&gt;=450000,"Medium",I468&lt;450000,"Low")</f>
        <v>High</v>
      </c>
      <c r="N468" s="94">
        <f t="shared" si="26"/>
        <v>0.01</v>
      </c>
      <c r="O468" s="92" t="str">
        <f t="shared" si="27"/>
        <v>Unique</v>
      </c>
      <c r="P468" s="94">
        <f t="shared" si="25"/>
        <v>5</v>
      </c>
    </row>
    <row r="469" spans="1:16">
      <c r="A469" s="115">
        <v>3101467</v>
      </c>
      <c r="B469" s="85" t="s">
        <v>272</v>
      </c>
      <c r="C469" s="96" t="s">
        <v>11</v>
      </c>
      <c r="D469" s="85" t="s">
        <v>12</v>
      </c>
      <c r="E469" s="96" t="s">
        <v>36</v>
      </c>
      <c r="F469" s="96" t="s">
        <v>34</v>
      </c>
      <c r="G469" s="85" t="s">
        <v>21</v>
      </c>
      <c r="H469" s="98">
        <v>46165</v>
      </c>
      <c r="I469" s="85">
        <v>615000</v>
      </c>
      <c r="J469" s="96">
        <v>5</v>
      </c>
      <c r="K469" s="106">
        <v>95</v>
      </c>
      <c r="L469" s="94" t="str" cm="1">
        <f t="array" ref="L469">_xlfn.IFS(J469&lt;2,"Fresher",J469&lt;=3,"Mid Level",J469&gt;3,"Experienced")</f>
        <v>Experienced</v>
      </c>
      <c r="M469" s="90" t="str" cm="1">
        <f t="array" ref="M469">_xlfn.IFS(I469&gt;=600000,"High",I469&gt;=450000,"Medium",I469&lt;450000,"Low")</f>
        <v>High</v>
      </c>
      <c r="N469" s="94">
        <f t="shared" si="26"/>
        <v>0.01</v>
      </c>
      <c r="O469" s="92" t="str">
        <f t="shared" si="27"/>
        <v>Unique</v>
      </c>
      <c r="P469" s="94">
        <f t="shared" si="25"/>
        <v>5</v>
      </c>
    </row>
    <row r="470" spans="1:16">
      <c r="A470" s="115">
        <v>3101468</v>
      </c>
      <c r="B470" s="85" t="s">
        <v>305</v>
      </c>
      <c r="C470" s="96" t="s">
        <v>17</v>
      </c>
      <c r="D470" s="85" t="s">
        <v>28</v>
      </c>
      <c r="E470" s="96" t="s">
        <v>297</v>
      </c>
      <c r="F470" s="96" t="s">
        <v>34</v>
      </c>
      <c r="G470" s="85" t="s">
        <v>15</v>
      </c>
      <c r="H470" s="98">
        <v>46226</v>
      </c>
      <c r="I470" s="85">
        <v>485000</v>
      </c>
      <c r="J470" s="96">
        <v>2</v>
      </c>
      <c r="K470" s="106">
        <v>73</v>
      </c>
      <c r="L470" s="94" t="str" cm="1">
        <f t="array" ref="L470">_xlfn.IFS(J470&lt;2,"Fresher",J470&lt;=3,"Mid Level",J470&gt;3,"Experienced")</f>
        <v>Mid Level</v>
      </c>
      <c r="M470" s="90" t="str" cm="1">
        <f t="array" ref="M470">_xlfn.IFS(I470&gt;=600000,"High",I470&gt;=450000,"Medium",I470&lt;450000,"Low")</f>
        <v>Medium</v>
      </c>
      <c r="N470" s="94">
        <f t="shared" si="26"/>
        <v>0.01</v>
      </c>
      <c r="O470" s="92" t="str">
        <f t="shared" si="27"/>
        <v>Unique</v>
      </c>
      <c r="P470" s="94">
        <f t="shared" si="25"/>
        <v>7</v>
      </c>
    </row>
    <row r="471" spans="1:16">
      <c r="A471" s="115">
        <v>3101469</v>
      </c>
      <c r="B471" s="85" t="s">
        <v>259</v>
      </c>
      <c r="C471" s="96" t="s">
        <v>11</v>
      </c>
      <c r="D471" s="85" t="s">
        <v>12</v>
      </c>
      <c r="E471" s="96" t="s">
        <v>261</v>
      </c>
      <c r="F471" s="96" t="s">
        <v>24</v>
      </c>
      <c r="G471" s="85" t="s">
        <v>25</v>
      </c>
      <c r="H471" s="98">
        <v>46214</v>
      </c>
      <c r="I471" s="85">
        <v>590000</v>
      </c>
      <c r="J471" s="96">
        <v>3</v>
      </c>
      <c r="K471" s="106">
        <v>84</v>
      </c>
      <c r="L471" s="94" t="str" cm="1">
        <f t="array" ref="L471">_xlfn.IFS(J471&lt;2,"Fresher",J471&lt;=3,"Mid Level",J471&gt;3,"Experienced")</f>
        <v>Mid Level</v>
      </c>
      <c r="M471" s="90" t="str" cm="1">
        <f t="array" ref="M471">_xlfn.IFS(I471&gt;=600000,"High",I471&gt;=450000,"Medium",I471&lt;450000,"Low")</f>
        <v>Medium</v>
      </c>
      <c r="N471" s="94">
        <f t="shared" si="26"/>
        <v>0.02</v>
      </c>
      <c r="O471" s="92" t="str">
        <f t="shared" si="27"/>
        <v>Unique</v>
      </c>
      <c r="P471" s="94">
        <f t="shared" si="25"/>
        <v>7</v>
      </c>
    </row>
    <row r="472" spans="1:16">
      <c r="A472" s="115">
        <v>3101470</v>
      </c>
      <c r="B472" s="85" t="s">
        <v>295</v>
      </c>
      <c r="C472" s="96" t="s">
        <v>11</v>
      </c>
      <c r="D472" s="85" t="s">
        <v>12</v>
      </c>
      <c r="E472" s="96" t="s">
        <v>23</v>
      </c>
      <c r="F472" s="96" t="s">
        <v>14</v>
      </c>
      <c r="G472" s="85" t="s">
        <v>15</v>
      </c>
      <c r="H472" s="98">
        <v>46172</v>
      </c>
      <c r="I472" s="85">
        <v>635000</v>
      </c>
      <c r="J472" s="96">
        <v>5</v>
      </c>
      <c r="K472" s="106">
        <v>79</v>
      </c>
      <c r="L472" s="94" t="str" cm="1">
        <f t="array" ref="L472">_xlfn.IFS(J472&lt;2,"Fresher",J472&lt;=3,"Mid Level",J472&gt;3,"Experienced")</f>
        <v>Experienced</v>
      </c>
      <c r="M472" s="90" t="str" cm="1">
        <f t="array" ref="M472">_xlfn.IFS(I472&gt;=600000,"High",I472&gt;=450000,"Medium",I472&lt;450000,"Low")</f>
        <v>High</v>
      </c>
      <c r="N472" s="94">
        <f t="shared" si="26"/>
        <v>0.02</v>
      </c>
      <c r="O472" s="92" t="str">
        <f t="shared" si="27"/>
        <v>Unique</v>
      </c>
      <c r="P472" s="94">
        <f t="shared" si="25"/>
        <v>5</v>
      </c>
    </row>
    <row r="473" spans="1:16">
      <c r="A473" s="115">
        <v>3101056</v>
      </c>
      <c r="B473" s="85" t="s">
        <v>308</v>
      </c>
      <c r="C473" s="96" t="s">
        <v>17</v>
      </c>
      <c r="D473" s="85" t="s">
        <v>12</v>
      </c>
      <c r="E473" s="96" t="s">
        <v>265</v>
      </c>
      <c r="F473" s="96" t="s">
        <v>14</v>
      </c>
      <c r="G473" s="85" t="s">
        <v>21</v>
      </c>
      <c r="H473" s="98">
        <v>46169</v>
      </c>
      <c r="I473" s="85">
        <v>755000</v>
      </c>
      <c r="J473" s="96">
        <v>5</v>
      </c>
      <c r="K473" s="106">
        <v>71</v>
      </c>
      <c r="L473" s="94" t="str" cm="1">
        <f t="array" ref="L473">_xlfn.IFS(J473&lt;2,"Fresher",J473&lt;=3,"Mid Level",J473&gt;3,"Experienced")</f>
        <v>Experienced</v>
      </c>
      <c r="M473" s="90" t="str" cm="1">
        <f t="array" ref="M473">_xlfn.IFS(I473&gt;=600000,"High",I473&gt;=450000,"Medium",I473&lt;450000,"Low")</f>
        <v>High</v>
      </c>
      <c r="N473" s="94">
        <f t="shared" si="26"/>
        <v>0.02</v>
      </c>
      <c r="O473" s="92" t="str">
        <f t="shared" si="27"/>
        <v>Duplicate</v>
      </c>
      <c r="P473" s="94">
        <f t="shared" si="25"/>
        <v>5</v>
      </c>
    </row>
    <row r="474" spans="1:16">
      <c r="A474" s="115">
        <v>3101118</v>
      </c>
      <c r="B474" s="85" t="s">
        <v>294</v>
      </c>
      <c r="C474" s="96" t="s">
        <v>264</v>
      </c>
      <c r="D474" s="85" t="s">
        <v>12</v>
      </c>
      <c r="E474" s="96" t="s">
        <v>261</v>
      </c>
      <c r="F474" s="96" t="s">
        <v>14</v>
      </c>
      <c r="G474" s="85" t="s">
        <v>21</v>
      </c>
      <c r="H474" s="98">
        <v>46233</v>
      </c>
      <c r="I474" s="85">
        <v>680000</v>
      </c>
      <c r="J474" s="96">
        <v>4</v>
      </c>
      <c r="K474" s="106">
        <v>89</v>
      </c>
      <c r="L474" s="94" t="str" cm="1">
        <f t="array" ref="L474">_xlfn.IFS(J474&lt;2,"Fresher",J474&lt;=3,"Mid Level",J474&gt;3,"Experienced")</f>
        <v>Experienced</v>
      </c>
      <c r="M474" s="90" t="str" cm="1">
        <f t="array" ref="M474">_xlfn.IFS(I474&gt;=600000,"High",I474&gt;=450000,"Medium",I474&lt;450000,"Low")</f>
        <v>High</v>
      </c>
      <c r="N474" s="94">
        <f t="shared" si="26"/>
        <v>0.02</v>
      </c>
      <c r="O474" s="92" t="str">
        <f t="shared" si="27"/>
        <v>Duplicate</v>
      </c>
      <c r="P474" s="94">
        <f t="shared" si="25"/>
        <v>7</v>
      </c>
    </row>
    <row r="475" spans="1:16">
      <c r="A475" s="115">
        <v>3101185</v>
      </c>
      <c r="B475" s="85" t="s">
        <v>169</v>
      </c>
      <c r="C475" s="96" t="s">
        <v>260</v>
      </c>
      <c r="D475" s="85" t="s">
        <v>12</v>
      </c>
      <c r="E475" s="96" t="s">
        <v>13</v>
      </c>
      <c r="F475" s="96" t="s">
        <v>14</v>
      </c>
      <c r="G475" s="85" t="s">
        <v>15</v>
      </c>
      <c r="H475" s="98">
        <v>46243</v>
      </c>
      <c r="I475" s="85">
        <v>495000</v>
      </c>
      <c r="J475" s="96">
        <v>0</v>
      </c>
      <c r="K475" s="106">
        <v>67</v>
      </c>
      <c r="L475" s="94" t="str" cm="1">
        <f t="array" ref="L475">_xlfn.IFS(J475&lt;2,"Fresher",J475&lt;=3,"Mid Level",J475&gt;3,"Experienced")</f>
        <v>Fresher</v>
      </c>
      <c r="M475" s="90" t="str" cm="1">
        <f t="array" ref="M475">_xlfn.IFS(I475&gt;=600000,"High",I475&gt;=450000,"Medium",I475&lt;450000,"Low")</f>
        <v>Medium</v>
      </c>
      <c r="N475" s="94">
        <f t="shared" si="26"/>
        <v>0.02</v>
      </c>
      <c r="O475" s="92" t="str">
        <f t="shared" si="27"/>
        <v>Duplicate</v>
      </c>
      <c r="P475" s="94">
        <f t="shared" si="25"/>
        <v>8</v>
      </c>
    </row>
    <row r="476" spans="1:16">
      <c r="A476" s="115">
        <v>3101272</v>
      </c>
      <c r="B476" s="85" t="s">
        <v>45</v>
      </c>
      <c r="C476" s="96" t="s">
        <v>38</v>
      </c>
      <c r="D476" s="85" t="s">
        <v>12</v>
      </c>
      <c r="E476" s="96" t="s">
        <v>23</v>
      </c>
      <c r="F476" s="96" t="s">
        <v>20</v>
      </c>
      <c r="G476" s="85" t="s">
        <v>25</v>
      </c>
      <c r="H476" s="98">
        <v>46257</v>
      </c>
      <c r="I476" s="85">
        <v>520000</v>
      </c>
      <c r="J476" s="96">
        <v>3</v>
      </c>
      <c r="K476" s="106">
        <v>86</v>
      </c>
      <c r="L476" s="94" t="str" cm="1">
        <f t="array" ref="L476">_xlfn.IFS(J476&lt;2,"Fresher",J476&lt;=3,"Mid Level",J476&gt;3,"Experienced")</f>
        <v>Mid Level</v>
      </c>
      <c r="M476" s="90" t="str" cm="1">
        <f t="array" ref="M476">_xlfn.IFS(I476&gt;=600000,"High",I476&gt;=450000,"Medium",I476&lt;450000,"Low")</f>
        <v>Medium</v>
      </c>
      <c r="N476" s="94">
        <f t="shared" si="26"/>
        <v>0.05</v>
      </c>
      <c r="O476" s="92" t="str">
        <f t="shared" si="27"/>
        <v>Duplicate</v>
      </c>
      <c r="P476" s="94">
        <f t="shared" si="25"/>
        <v>8</v>
      </c>
    </row>
    <row r="477" spans="1:16">
      <c r="A477" s="115">
        <v>3101359</v>
      </c>
      <c r="B477" s="85" t="s">
        <v>299</v>
      </c>
      <c r="C477" s="96" t="s">
        <v>260</v>
      </c>
      <c r="D477" s="85" t="s">
        <v>32</v>
      </c>
      <c r="E477" s="96" t="s">
        <v>33</v>
      </c>
      <c r="F477" s="96" t="s">
        <v>24</v>
      </c>
      <c r="G477" s="85" t="s">
        <v>21</v>
      </c>
      <c r="H477" s="98">
        <v>46244</v>
      </c>
      <c r="I477" s="85">
        <v>340000</v>
      </c>
      <c r="J477" s="96">
        <v>5</v>
      </c>
      <c r="K477" s="106">
        <v>92</v>
      </c>
      <c r="L477" s="94" t="str" cm="1">
        <f t="array" ref="L477">_xlfn.IFS(J477&lt;2,"Fresher",J477&lt;=3,"Mid Level",J477&gt;3,"Experienced")</f>
        <v>Experienced</v>
      </c>
      <c r="M477" s="90" t="str" cm="1">
        <f t="array" ref="M477">_xlfn.IFS(I477&gt;=600000,"High",I477&gt;=450000,"Medium",I477&lt;450000,"Low")</f>
        <v>Low</v>
      </c>
      <c r="N477" s="94">
        <f t="shared" si="26"/>
        <v>0.02</v>
      </c>
      <c r="O477" s="92" t="str">
        <f t="shared" si="27"/>
        <v>Duplicate</v>
      </c>
      <c r="P477" s="94">
        <f t="shared" si="25"/>
        <v>8</v>
      </c>
    </row>
    <row r="478" spans="1:16">
      <c r="A478" s="116">
        <v>3101442</v>
      </c>
      <c r="B478" s="91" t="s">
        <v>314</v>
      </c>
      <c r="C478" s="97" t="s">
        <v>264</v>
      </c>
      <c r="D478" s="91" t="s">
        <v>18</v>
      </c>
      <c r="E478" s="97" t="s">
        <v>19</v>
      </c>
      <c r="F478" s="97" t="s">
        <v>24</v>
      </c>
      <c r="G478" s="91" t="s">
        <v>21</v>
      </c>
      <c r="H478" s="99">
        <v>46179</v>
      </c>
      <c r="I478" s="91">
        <v>405000</v>
      </c>
      <c r="J478" s="97">
        <v>3</v>
      </c>
      <c r="K478" s="63">
        <v>69</v>
      </c>
      <c r="L478" s="95" t="str" cm="1">
        <f t="array" ref="L478">_xlfn.IFS(J478&lt;2,"Fresher",J478&lt;=3,"Mid Level",J478&gt;3,"Experienced")</f>
        <v>Mid Level</v>
      </c>
      <c r="M478" s="90" t="str" cm="1">
        <f t="array" ref="M478">_xlfn.IFS(I478&gt;=600000,"High",I478&gt;=450000,"Medium",I478&lt;450000,"Low")</f>
        <v>Low</v>
      </c>
      <c r="N478" s="95">
        <f t="shared" si="26"/>
        <v>0.02</v>
      </c>
      <c r="O478" s="102" t="str">
        <f t="shared" si="27"/>
        <v>Duplicate</v>
      </c>
      <c r="P478" s="95">
        <f>MONTH(H478)</f>
        <v>6</v>
      </c>
    </row>
    <row r="479" spans="1:16">
      <c r="K479" s="107"/>
    </row>
    <row r="480" spans="1:16">
      <c r="K480" s="107"/>
    </row>
    <row r="481" spans="11:11">
      <c r="K481" s="107"/>
    </row>
    <row r="482" spans="11:11">
      <c r="K482" s="107"/>
    </row>
    <row r="483" spans="11:11">
      <c r="K483" s="107"/>
    </row>
    <row r="484" spans="11:11">
      <c r="K484" s="107"/>
    </row>
    <row r="485" spans="11:11">
      <c r="K485" s="107"/>
    </row>
    <row r="486" spans="11:11">
      <c r="K486" s="107"/>
    </row>
    <row r="487" spans="11:11">
      <c r="K487" s="107"/>
    </row>
    <row r="488" spans="11:11">
      <c r="K488" s="107"/>
    </row>
    <row r="489" spans="11:11">
      <c r="K489" s="107"/>
    </row>
    <row r="490" spans="11:11">
      <c r="K490" s="10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820D-3C71-416A-85DD-67FB04DAA77B}">
  <sheetPr>
    <tabColor theme="8" tint="0.59999389629810485"/>
  </sheetPr>
  <dimension ref="A1:Q53"/>
  <sheetViews>
    <sheetView topLeftCell="A2" zoomScale="72" zoomScaleNormal="108" workbookViewId="0">
      <selection activeCell="M2" sqref="M2"/>
    </sheetView>
  </sheetViews>
  <sheetFormatPr defaultRowHeight="14.5"/>
  <cols>
    <col min="1" max="1" width="3" customWidth="1"/>
    <col min="2" max="2" width="21.08984375" bestFit="1" customWidth="1"/>
    <col min="3" max="3" width="21.36328125" customWidth="1"/>
    <col min="4" max="4" width="4" customWidth="1"/>
    <col min="5" max="6" width="18" customWidth="1"/>
    <col min="7" max="7" width="4" customWidth="1"/>
    <col min="8" max="9" width="18" customWidth="1"/>
    <col min="10" max="10" width="4" customWidth="1"/>
    <col min="11" max="11" width="31.1796875" customWidth="1"/>
    <col min="12" max="12" width="18" customWidth="1"/>
  </cols>
  <sheetData>
    <row r="1" spans="1:17">
      <c r="A1" s="105"/>
      <c r="B1" s="105"/>
      <c r="C1" s="105"/>
      <c r="D1" s="105"/>
      <c r="E1" s="105"/>
      <c r="F1" s="105"/>
      <c r="G1" s="105"/>
      <c r="H1" s="105"/>
      <c r="I1" s="105"/>
      <c r="J1" s="105"/>
      <c r="K1" s="105"/>
      <c r="L1" s="105"/>
      <c r="M1" s="112"/>
      <c r="N1" s="112"/>
      <c r="O1" s="112"/>
      <c r="P1" s="112"/>
      <c r="Q1" s="112"/>
    </row>
    <row r="2" spans="1:17" ht="38" customHeight="1">
      <c r="A2" s="105"/>
      <c r="B2" s="133" t="s">
        <v>318</v>
      </c>
      <c r="C2" s="118"/>
      <c r="D2" s="118"/>
      <c r="E2" s="118"/>
      <c r="F2" s="118"/>
      <c r="G2" s="118"/>
      <c r="H2" s="118"/>
      <c r="I2" s="118"/>
      <c r="J2" s="118"/>
      <c r="K2" s="118"/>
      <c r="L2" s="118"/>
      <c r="M2" s="112"/>
      <c r="N2" s="112"/>
      <c r="O2" s="112"/>
      <c r="P2" s="112"/>
      <c r="Q2" s="112"/>
    </row>
    <row r="3" spans="1:17">
      <c r="A3" s="105"/>
      <c r="B3" s="134" t="s">
        <v>319</v>
      </c>
      <c r="C3" s="118"/>
      <c r="D3" s="118"/>
      <c r="E3" s="118"/>
      <c r="F3" s="118"/>
      <c r="G3" s="118"/>
      <c r="H3" s="118"/>
      <c r="I3" s="118"/>
      <c r="J3" s="118"/>
      <c r="K3" s="118"/>
      <c r="L3" s="118"/>
      <c r="M3" s="112"/>
      <c r="N3" s="112"/>
      <c r="O3" s="112"/>
      <c r="P3" s="112"/>
      <c r="Q3" s="112"/>
    </row>
    <row r="4" spans="1:17">
      <c r="A4" s="105"/>
      <c r="B4" s="105"/>
      <c r="C4" s="105"/>
      <c r="D4" s="105"/>
      <c r="E4" s="105"/>
      <c r="F4" s="105"/>
      <c r="G4" s="105"/>
      <c r="H4" s="105"/>
      <c r="I4" s="105"/>
      <c r="J4" s="105"/>
      <c r="K4" s="105"/>
      <c r="L4" s="105"/>
      <c r="M4" s="112"/>
      <c r="N4" s="112"/>
      <c r="O4" s="112"/>
      <c r="P4" s="112"/>
      <c r="Q4" s="112"/>
    </row>
    <row r="5" spans="1:17" ht="24" customHeight="1">
      <c r="A5" s="105"/>
      <c r="B5" s="135" t="s">
        <v>149</v>
      </c>
      <c r="C5" s="136"/>
      <c r="D5" s="137" t="s">
        <v>166</v>
      </c>
      <c r="E5" s="138"/>
      <c r="F5" s="139" t="s">
        <v>168</v>
      </c>
      <c r="G5" s="138"/>
      <c r="H5" s="140" t="s">
        <v>25</v>
      </c>
      <c r="I5" s="138"/>
      <c r="J5" s="141" t="s">
        <v>247</v>
      </c>
      <c r="K5" s="136"/>
      <c r="L5" s="105"/>
      <c r="M5" s="112"/>
      <c r="N5" s="112"/>
      <c r="O5" s="112"/>
      <c r="P5" s="112"/>
      <c r="Q5" s="112"/>
    </row>
    <row r="6" spans="1:17" ht="24" customHeight="1">
      <c r="A6" s="105"/>
      <c r="B6" s="121">
        <f>COUNTA('Raw Data1'!A2:A478)</f>
        <v>476</v>
      </c>
      <c r="C6" s="122"/>
      <c r="D6" s="125">
        <f>COUNTIF('Raw Data1'!G2:G478,"Selected")</f>
        <v>111</v>
      </c>
      <c r="E6" s="126"/>
      <c r="F6" s="129">
        <f>COUNTIF('Raw Data1'!G2:G478,"Interview")</f>
        <v>163</v>
      </c>
      <c r="G6" s="126"/>
      <c r="H6" s="130">
        <f>COUNTIF('Raw Data1'!G2:G478,"Rejected")</f>
        <v>118</v>
      </c>
      <c r="I6" s="126"/>
      <c r="J6" s="121">
        <f>COUNTIF('Exercise 1-5'!G76:G104,"Duplicate")</f>
        <v>16</v>
      </c>
      <c r="K6" s="122"/>
      <c r="L6" s="105"/>
      <c r="M6" s="112"/>
      <c r="N6" s="112"/>
      <c r="O6" s="112"/>
      <c r="P6" s="112"/>
      <c r="Q6" s="112"/>
    </row>
    <row r="7" spans="1:17" ht="24" customHeight="1">
      <c r="A7" s="105"/>
      <c r="B7" s="123"/>
      <c r="C7" s="124"/>
      <c r="D7" s="127"/>
      <c r="E7" s="128"/>
      <c r="F7" s="127"/>
      <c r="G7" s="128"/>
      <c r="H7" s="127"/>
      <c r="I7" s="128"/>
      <c r="J7" s="123"/>
      <c r="K7" s="124"/>
      <c r="L7" s="105"/>
      <c r="M7" s="112"/>
      <c r="N7" s="112"/>
      <c r="O7" s="112"/>
      <c r="P7" s="112"/>
      <c r="Q7" s="112"/>
    </row>
    <row r="8" spans="1:17">
      <c r="A8" s="105"/>
      <c r="B8" s="105"/>
      <c r="C8" s="105"/>
      <c r="D8" s="105"/>
      <c r="E8" s="105"/>
      <c r="F8" s="105"/>
      <c r="G8" s="105"/>
      <c r="H8" s="105"/>
      <c r="I8" s="105"/>
      <c r="J8" s="105"/>
      <c r="K8" s="105"/>
      <c r="L8" s="105"/>
      <c r="M8" s="112"/>
      <c r="N8" s="112"/>
      <c r="O8" s="112"/>
      <c r="P8" s="112"/>
      <c r="Q8" s="112"/>
    </row>
    <row r="9" spans="1:17" ht="21" customHeight="1">
      <c r="A9" s="105"/>
      <c r="B9" s="131" t="s">
        <v>320</v>
      </c>
      <c r="C9" s="132"/>
      <c r="D9" s="105"/>
      <c r="E9" s="105"/>
      <c r="F9" s="105"/>
      <c r="G9" s="105"/>
      <c r="H9" s="105"/>
      <c r="I9" s="105"/>
      <c r="J9" s="105"/>
      <c r="K9" s="105"/>
      <c r="L9" s="105"/>
      <c r="M9" s="112"/>
      <c r="N9" s="112"/>
      <c r="O9" s="112"/>
      <c r="P9" s="112"/>
      <c r="Q9" s="112"/>
    </row>
    <row r="10" spans="1:17" ht="26.5" customHeight="1">
      <c r="A10" s="105"/>
      <c r="B10" s="108" t="s">
        <v>245</v>
      </c>
      <c r="C10" s="109">
        <f>AVERAGE(Data!I2:I478)</f>
        <v>513301.88679245283</v>
      </c>
      <c r="D10" s="105"/>
      <c r="E10" s="105"/>
      <c r="F10" s="105"/>
      <c r="G10" s="105"/>
      <c r="H10" s="105"/>
      <c r="I10" s="105"/>
      <c r="J10" s="105"/>
      <c r="K10" s="105"/>
      <c r="L10" s="105"/>
      <c r="M10" s="112"/>
      <c r="N10" s="112"/>
      <c r="O10" s="112"/>
      <c r="P10" s="112"/>
      <c r="Q10" s="112"/>
    </row>
    <row r="11" spans="1:17" ht="23" customHeight="1">
      <c r="A11" s="105"/>
      <c r="B11" s="108" t="s">
        <v>321</v>
      </c>
      <c r="C11" s="110">
        <f>AVERAGE(Data!J2:J478)</f>
        <v>2.5136268343815513</v>
      </c>
      <c r="D11" s="105"/>
      <c r="E11" s="105"/>
      <c r="F11" s="105"/>
      <c r="G11" s="105"/>
      <c r="H11" s="105"/>
      <c r="I11" s="105"/>
      <c r="J11" s="105"/>
      <c r="K11" s="105"/>
      <c r="L11" s="105"/>
      <c r="M11" s="112"/>
      <c r="N11" s="112"/>
      <c r="O11" s="112"/>
      <c r="P11" s="112"/>
      <c r="Q11" s="112"/>
    </row>
    <row r="12" spans="1:17" ht="24" customHeight="1">
      <c r="A12" s="105"/>
      <c r="B12" s="108" t="s">
        <v>246</v>
      </c>
      <c r="C12" s="111">
        <f>AVERAGE(Data!K2:K478)</f>
        <v>81.280977195909813</v>
      </c>
      <c r="D12" s="105"/>
      <c r="E12" s="105"/>
      <c r="F12" s="105"/>
      <c r="G12" s="105"/>
      <c r="H12" s="105"/>
      <c r="I12" s="105"/>
      <c r="J12" s="105"/>
      <c r="K12" s="105"/>
      <c r="L12" s="105"/>
      <c r="M12" s="112"/>
      <c r="N12" s="112"/>
      <c r="O12" s="112"/>
      <c r="P12" s="112"/>
      <c r="Q12" s="112"/>
    </row>
    <row r="13" spans="1:17" ht="26" customHeight="1">
      <c r="A13" s="105"/>
      <c r="B13" s="108" t="s">
        <v>322</v>
      </c>
      <c r="C13" s="109">
        <f>MAX(Data!I1:I478)</f>
        <v>895000</v>
      </c>
      <c r="D13" s="105"/>
      <c r="E13" s="105"/>
      <c r="F13" s="105"/>
      <c r="G13" s="105"/>
      <c r="H13" s="105"/>
      <c r="I13" s="105"/>
      <c r="J13" s="105"/>
      <c r="K13" s="105"/>
      <c r="L13" s="105"/>
      <c r="M13" s="112"/>
      <c r="N13" s="112"/>
      <c r="O13" s="112"/>
      <c r="P13" s="112"/>
      <c r="Q13" s="112"/>
    </row>
    <row r="14" spans="1:17" ht="18" customHeight="1">
      <c r="A14" s="105"/>
      <c r="B14" s="105"/>
      <c r="C14" s="105"/>
      <c r="D14" s="105"/>
      <c r="E14" s="105"/>
      <c r="F14" s="105"/>
      <c r="G14" s="105"/>
      <c r="H14" s="105"/>
      <c r="I14" s="105"/>
      <c r="J14" s="105"/>
      <c r="K14" s="105"/>
      <c r="L14" s="105"/>
      <c r="M14" s="112"/>
      <c r="N14" s="112"/>
      <c r="O14" s="112"/>
      <c r="P14" s="112"/>
      <c r="Q14" s="112"/>
    </row>
    <row r="15" spans="1:17" ht="18" customHeight="1">
      <c r="A15" s="112"/>
      <c r="B15" s="112"/>
      <c r="C15" s="112"/>
      <c r="D15" s="105"/>
      <c r="E15" s="105"/>
      <c r="F15" s="105"/>
      <c r="G15" s="105"/>
      <c r="H15" s="105"/>
      <c r="I15" s="105"/>
      <c r="J15" s="105"/>
      <c r="K15" s="105"/>
      <c r="L15" s="105"/>
      <c r="M15" s="112"/>
      <c r="N15" s="112"/>
      <c r="O15" s="112"/>
      <c r="P15" s="112"/>
      <c r="Q15" s="112"/>
    </row>
    <row r="16" spans="1:17" ht="18" customHeight="1">
      <c r="A16" s="112"/>
      <c r="B16" s="112"/>
      <c r="C16" s="112"/>
      <c r="D16" s="105"/>
      <c r="E16" s="105"/>
      <c r="F16" s="105"/>
      <c r="G16" s="105"/>
      <c r="H16" s="105"/>
      <c r="I16" s="105"/>
      <c r="J16" s="105"/>
      <c r="K16" s="105"/>
      <c r="L16" s="105"/>
      <c r="M16" s="112"/>
      <c r="N16" s="112"/>
      <c r="O16" s="112"/>
      <c r="P16" s="112"/>
      <c r="Q16" s="112"/>
    </row>
    <row r="17" spans="1:17" ht="18" customHeight="1">
      <c r="A17" s="112"/>
      <c r="B17" s="112"/>
      <c r="C17" s="112"/>
      <c r="D17" s="105"/>
      <c r="E17" s="105"/>
      <c r="F17" s="105"/>
      <c r="G17" s="105"/>
      <c r="H17" s="105"/>
      <c r="I17" s="105"/>
      <c r="J17" s="105"/>
      <c r="K17" s="105"/>
      <c r="L17" s="105"/>
      <c r="M17" s="112"/>
      <c r="N17" s="112"/>
      <c r="O17" s="112"/>
      <c r="P17" s="112"/>
      <c r="Q17" s="112"/>
    </row>
    <row r="18" spans="1:17" ht="18" customHeight="1">
      <c r="A18" s="112"/>
      <c r="B18" s="112"/>
      <c r="C18" s="112"/>
      <c r="D18" s="105"/>
      <c r="E18" s="105"/>
      <c r="F18" s="105"/>
      <c r="G18" s="105"/>
      <c r="H18" s="105"/>
      <c r="I18" s="105"/>
      <c r="J18" s="105"/>
      <c r="K18" s="105"/>
      <c r="L18" s="105"/>
      <c r="M18" s="112"/>
      <c r="N18" s="112"/>
      <c r="O18" s="112"/>
      <c r="P18" s="112"/>
      <c r="Q18" s="112"/>
    </row>
    <row r="19" spans="1:17" ht="18" customHeight="1">
      <c r="A19" s="112"/>
      <c r="B19" s="112"/>
      <c r="C19" s="112"/>
      <c r="D19" s="105"/>
      <c r="E19" s="105"/>
      <c r="F19" s="105"/>
      <c r="G19" s="105"/>
      <c r="H19" s="105"/>
      <c r="I19" s="105"/>
      <c r="J19" s="105"/>
      <c r="K19" s="105"/>
      <c r="L19" s="105"/>
      <c r="M19" s="112"/>
      <c r="N19" s="112"/>
      <c r="O19" s="112"/>
      <c r="P19" s="112"/>
      <c r="Q19" s="112"/>
    </row>
    <row r="20" spans="1:17" ht="18" customHeight="1">
      <c r="A20" s="112"/>
      <c r="B20" s="112"/>
      <c r="C20" s="112"/>
      <c r="D20" s="105"/>
      <c r="E20" s="105"/>
      <c r="F20" s="105"/>
      <c r="G20" s="105"/>
      <c r="H20" s="105"/>
      <c r="I20" s="105"/>
      <c r="J20" s="105"/>
      <c r="K20" s="105"/>
      <c r="L20" s="105"/>
      <c r="M20" s="112"/>
      <c r="N20" s="112"/>
      <c r="O20" s="112"/>
      <c r="P20" s="112"/>
      <c r="Q20" s="112"/>
    </row>
    <row r="21" spans="1:17" ht="18" customHeight="1">
      <c r="A21" s="105"/>
      <c r="B21" s="105"/>
      <c r="C21" s="105"/>
      <c r="D21" s="105"/>
      <c r="E21" s="105"/>
      <c r="F21" s="105"/>
      <c r="G21" s="105"/>
      <c r="H21" s="105"/>
      <c r="I21" s="105"/>
      <c r="J21" s="105"/>
      <c r="K21" s="105"/>
      <c r="L21" s="105"/>
      <c r="M21" s="112"/>
      <c r="N21" s="112"/>
      <c r="O21" s="112"/>
      <c r="P21" s="112"/>
      <c r="Q21" s="112"/>
    </row>
    <row r="22" spans="1:17" ht="18" customHeight="1">
      <c r="A22" s="105"/>
      <c r="B22" s="105"/>
      <c r="C22" s="105"/>
      <c r="D22" s="105"/>
      <c r="E22" s="105"/>
      <c r="F22" s="105"/>
      <c r="G22" s="105"/>
      <c r="H22" s="105"/>
      <c r="I22" s="105"/>
      <c r="J22" s="105"/>
      <c r="K22" s="105"/>
      <c r="L22" s="105"/>
      <c r="M22" s="112"/>
      <c r="N22" s="112"/>
      <c r="O22" s="112"/>
      <c r="P22" s="112"/>
      <c r="Q22" s="112"/>
    </row>
    <row r="23" spans="1:17" ht="18" customHeight="1">
      <c r="A23" s="105"/>
      <c r="B23" s="105"/>
      <c r="C23" s="105"/>
      <c r="D23" s="105"/>
      <c r="E23" s="105"/>
      <c r="F23" s="105"/>
      <c r="G23" s="105"/>
      <c r="H23" s="105"/>
      <c r="I23" s="105"/>
      <c r="J23" s="105"/>
      <c r="K23" s="105"/>
      <c r="L23" s="105"/>
      <c r="M23" s="112"/>
      <c r="N23" s="112"/>
      <c r="O23" s="112"/>
      <c r="P23" s="112"/>
      <c r="Q23" s="112"/>
    </row>
    <row r="24" spans="1:17" ht="18" customHeight="1">
      <c r="A24" s="105"/>
      <c r="B24" s="105"/>
      <c r="C24" s="105"/>
      <c r="D24" s="105"/>
      <c r="E24" s="105"/>
      <c r="F24" s="105"/>
      <c r="G24" s="105"/>
      <c r="H24" s="105"/>
      <c r="I24" s="105"/>
      <c r="J24" s="105"/>
      <c r="K24" s="105"/>
      <c r="L24" s="105"/>
      <c r="M24" s="112"/>
      <c r="N24" s="112"/>
      <c r="O24" s="112"/>
      <c r="P24" s="112"/>
      <c r="Q24" s="112"/>
    </row>
    <row r="25" spans="1:17" ht="18" customHeight="1">
      <c r="A25" s="105"/>
      <c r="B25" s="105"/>
      <c r="C25" s="105"/>
      <c r="D25" s="105"/>
      <c r="E25" s="105"/>
      <c r="F25" s="105"/>
      <c r="G25" s="105"/>
      <c r="H25" s="105"/>
      <c r="I25" s="105"/>
      <c r="J25" s="105"/>
      <c r="K25" s="105"/>
      <c r="L25" s="105"/>
      <c r="M25" s="112"/>
      <c r="N25" s="112"/>
      <c r="O25" s="112"/>
      <c r="P25" s="112"/>
      <c r="Q25" s="112"/>
    </row>
    <row r="26" spans="1:17" ht="18" customHeight="1">
      <c r="A26" s="105"/>
      <c r="B26" s="105"/>
      <c r="C26" s="105"/>
      <c r="D26" s="105"/>
      <c r="E26" s="105"/>
      <c r="F26" s="105"/>
      <c r="G26" s="105"/>
      <c r="H26" s="105"/>
      <c r="I26" s="105"/>
      <c r="J26" s="105"/>
      <c r="K26" s="105"/>
      <c r="L26" s="105"/>
      <c r="M26" s="112"/>
      <c r="N26" s="112"/>
      <c r="O26" s="112"/>
      <c r="P26" s="112"/>
      <c r="Q26" s="112"/>
    </row>
    <row r="27" spans="1:17" ht="18" customHeight="1">
      <c r="A27" s="105"/>
      <c r="B27" s="105"/>
      <c r="C27" s="105"/>
      <c r="D27" s="105"/>
      <c r="E27" s="105"/>
      <c r="F27" s="105"/>
      <c r="G27" s="105"/>
      <c r="H27" s="105"/>
      <c r="I27" s="105"/>
      <c r="J27" s="105"/>
      <c r="K27" s="105"/>
      <c r="L27" s="105"/>
      <c r="M27" s="112"/>
      <c r="N27" s="112"/>
      <c r="O27" s="112"/>
      <c r="P27" s="112"/>
      <c r="Q27" s="112"/>
    </row>
    <row r="28" spans="1:17" ht="18" customHeight="1">
      <c r="A28" s="105"/>
      <c r="B28" s="105"/>
      <c r="C28" s="105"/>
      <c r="D28" s="105"/>
      <c r="E28" s="105"/>
      <c r="F28" s="105"/>
      <c r="G28" s="105"/>
      <c r="H28" s="105"/>
      <c r="I28" s="105"/>
      <c r="J28" s="105"/>
      <c r="K28" s="105"/>
      <c r="L28" s="105"/>
      <c r="M28" s="112"/>
      <c r="N28" s="112"/>
      <c r="O28" s="112"/>
      <c r="P28" s="112"/>
      <c r="Q28" s="112"/>
    </row>
    <row r="29" spans="1:17" ht="18" customHeight="1">
      <c r="A29" s="105"/>
      <c r="B29" s="105"/>
      <c r="C29" s="105"/>
      <c r="D29" s="105"/>
      <c r="E29" s="105"/>
      <c r="F29" s="105"/>
      <c r="G29" s="105"/>
      <c r="H29" s="105"/>
      <c r="I29" s="105"/>
      <c r="J29" s="105"/>
      <c r="K29" s="105"/>
      <c r="L29" s="105"/>
      <c r="M29" s="112"/>
      <c r="N29" s="112"/>
      <c r="O29" s="112"/>
      <c r="P29" s="112"/>
      <c r="Q29" s="112"/>
    </row>
    <row r="30" spans="1:17" ht="18" customHeight="1">
      <c r="A30" s="105"/>
      <c r="B30" s="105"/>
      <c r="C30" s="105"/>
      <c r="D30" s="105"/>
      <c r="E30" s="105"/>
      <c r="F30" s="105"/>
      <c r="G30" s="105"/>
      <c r="H30" s="105"/>
      <c r="I30" s="105"/>
      <c r="J30" s="105"/>
      <c r="K30" s="105"/>
      <c r="L30" s="105"/>
      <c r="M30" s="112"/>
      <c r="N30" s="112"/>
      <c r="O30" s="112"/>
      <c r="P30" s="112"/>
      <c r="Q30" s="112"/>
    </row>
    <row r="31" spans="1:17" ht="18" customHeight="1">
      <c r="A31" s="105"/>
      <c r="B31" s="105"/>
      <c r="C31" s="105"/>
      <c r="D31" s="105"/>
      <c r="E31" s="105"/>
      <c r="F31" s="105"/>
      <c r="G31" s="105"/>
      <c r="H31" s="105"/>
      <c r="I31" s="105"/>
      <c r="J31" s="105"/>
      <c r="K31" s="105"/>
      <c r="L31" s="105"/>
      <c r="M31" s="112"/>
      <c r="N31" s="112"/>
      <c r="O31" s="112"/>
      <c r="P31" s="112"/>
      <c r="Q31" s="112"/>
    </row>
    <row r="32" spans="1:17" ht="18" customHeight="1">
      <c r="A32" s="105"/>
      <c r="B32" s="105"/>
      <c r="C32" s="105"/>
      <c r="D32" s="105"/>
      <c r="E32" s="105"/>
      <c r="F32" s="105"/>
      <c r="G32" s="105"/>
      <c r="H32" s="105"/>
      <c r="I32" s="105"/>
      <c r="J32" s="105"/>
      <c r="K32" s="105"/>
      <c r="L32" s="105"/>
      <c r="M32" s="112"/>
      <c r="N32" s="112"/>
      <c r="O32" s="112"/>
      <c r="P32" s="112"/>
      <c r="Q32" s="112"/>
    </row>
    <row r="33" spans="1:17" ht="18" customHeight="1">
      <c r="A33" s="105"/>
      <c r="B33" s="105"/>
      <c r="C33" s="105"/>
      <c r="D33" s="105"/>
      <c r="E33" s="105"/>
      <c r="F33" s="105"/>
      <c r="G33" s="105"/>
      <c r="H33" s="105"/>
      <c r="I33" s="105"/>
      <c r="J33" s="105"/>
      <c r="K33" s="105"/>
      <c r="L33" s="105"/>
      <c r="M33" s="112"/>
      <c r="N33" s="112"/>
      <c r="O33" s="112"/>
      <c r="P33" s="112"/>
      <c r="Q33" s="112"/>
    </row>
    <row r="34" spans="1:17" ht="18" customHeight="1">
      <c r="A34" s="105"/>
      <c r="B34" s="105"/>
      <c r="C34" s="105"/>
      <c r="D34" s="105"/>
      <c r="E34" s="105"/>
      <c r="F34" s="105"/>
      <c r="G34" s="105"/>
      <c r="H34" s="105"/>
      <c r="I34" s="105"/>
      <c r="J34" s="105"/>
      <c r="K34" s="105"/>
      <c r="L34" s="105"/>
      <c r="M34" s="112"/>
      <c r="N34" s="112"/>
      <c r="O34" s="112"/>
      <c r="P34" s="112"/>
      <c r="Q34" s="112"/>
    </row>
    <row r="35" spans="1:17" ht="18" customHeight="1">
      <c r="A35" s="105"/>
      <c r="B35" s="105"/>
      <c r="C35" s="105"/>
      <c r="D35" s="105"/>
      <c r="E35" s="105"/>
      <c r="F35" s="105"/>
      <c r="G35" s="105"/>
      <c r="H35" s="105"/>
      <c r="I35" s="105"/>
      <c r="J35" s="105"/>
      <c r="K35" s="105"/>
      <c r="L35" s="105"/>
      <c r="M35" s="112"/>
      <c r="N35" s="112"/>
      <c r="O35" s="112"/>
      <c r="P35" s="112"/>
      <c r="Q35" s="112"/>
    </row>
    <row r="36" spans="1:17" ht="18" customHeight="1">
      <c r="A36" s="105"/>
      <c r="B36" s="105"/>
      <c r="C36" s="105"/>
      <c r="D36" s="105"/>
      <c r="E36" s="105"/>
      <c r="F36" s="105"/>
      <c r="G36" s="105"/>
      <c r="H36" s="117"/>
      <c r="I36" s="118"/>
      <c r="J36" s="118"/>
      <c r="K36" s="118"/>
      <c r="L36" s="118"/>
      <c r="M36" s="112"/>
      <c r="N36" s="112"/>
      <c r="O36" s="112"/>
      <c r="P36" s="112"/>
      <c r="Q36" s="112"/>
    </row>
    <row r="37" spans="1:17" ht="18" customHeight="1">
      <c r="A37" s="105"/>
      <c r="B37" s="105"/>
      <c r="C37" s="105"/>
      <c r="D37" s="105"/>
      <c r="E37" s="105"/>
      <c r="F37" s="105"/>
      <c r="G37" s="105"/>
      <c r="H37" s="119"/>
      <c r="I37" s="118"/>
      <c r="J37" s="118"/>
      <c r="K37" s="118"/>
      <c r="L37" s="118"/>
      <c r="M37" s="112"/>
      <c r="N37" s="112"/>
      <c r="O37" s="112"/>
      <c r="P37" s="112"/>
      <c r="Q37" s="112"/>
    </row>
    <row r="38" spans="1:17" ht="18" customHeight="1">
      <c r="A38" s="105"/>
      <c r="B38" s="105"/>
      <c r="C38" s="105"/>
      <c r="D38" s="105"/>
      <c r="E38" s="105"/>
      <c r="F38" s="105"/>
      <c r="G38" s="105"/>
      <c r="H38" s="119"/>
      <c r="I38" s="118"/>
      <c r="J38" s="118"/>
      <c r="K38" s="118"/>
      <c r="L38" s="118"/>
      <c r="M38" s="112"/>
      <c r="N38" s="112"/>
      <c r="O38" s="112"/>
      <c r="P38" s="112"/>
      <c r="Q38" s="112"/>
    </row>
    <row r="39" spans="1:17" ht="18" customHeight="1">
      <c r="A39" s="105"/>
      <c r="B39" s="105"/>
      <c r="C39" s="105"/>
      <c r="D39" s="105"/>
      <c r="E39" s="105"/>
      <c r="F39" s="105"/>
      <c r="G39" s="105"/>
      <c r="H39" s="119"/>
      <c r="I39" s="118"/>
      <c r="J39" s="118"/>
      <c r="K39" s="118"/>
      <c r="L39" s="118"/>
      <c r="M39" s="112"/>
      <c r="N39" s="112"/>
      <c r="O39" s="112"/>
      <c r="P39" s="112"/>
      <c r="Q39" s="112"/>
    </row>
    <row r="40" spans="1:17" ht="18" customHeight="1">
      <c r="A40" s="105"/>
      <c r="B40" s="105"/>
      <c r="C40" s="105"/>
      <c r="D40" s="105"/>
      <c r="E40" s="105"/>
      <c r="F40" s="105"/>
      <c r="G40" s="105"/>
      <c r="H40" s="119"/>
      <c r="I40" s="118"/>
      <c r="J40" s="118"/>
      <c r="K40" s="118"/>
      <c r="L40" s="118"/>
      <c r="M40" s="112"/>
      <c r="N40" s="112"/>
      <c r="O40" s="112"/>
      <c r="P40" s="112"/>
      <c r="Q40" s="112"/>
    </row>
    <row r="41" spans="1:17" ht="18" customHeight="1">
      <c r="A41" s="105"/>
      <c r="B41" s="105"/>
      <c r="C41" s="105"/>
      <c r="D41" s="105"/>
      <c r="E41" s="105"/>
      <c r="F41" s="105"/>
      <c r="G41" s="105"/>
      <c r="H41" s="105"/>
      <c r="I41" s="105"/>
      <c r="J41" s="105"/>
      <c r="K41" s="105"/>
      <c r="L41" s="105"/>
      <c r="M41" s="112"/>
      <c r="N41" s="112"/>
      <c r="O41" s="112"/>
      <c r="P41" s="112"/>
      <c r="Q41" s="112"/>
    </row>
    <row r="42" spans="1:17" ht="18" customHeight="1">
      <c r="A42" s="105"/>
      <c r="B42" s="105"/>
      <c r="C42" s="105"/>
      <c r="D42" s="105"/>
      <c r="E42" s="105"/>
      <c r="F42" s="105"/>
      <c r="G42" s="105"/>
      <c r="H42" s="105"/>
      <c r="I42" s="105"/>
      <c r="J42" s="105"/>
      <c r="K42" s="105"/>
      <c r="L42" s="105"/>
      <c r="M42" s="112"/>
      <c r="N42" s="112"/>
      <c r="O42" s="112"/>
      <c r="P42" s="112"/>
      <c r="Q42" s="112"/>
    </row>
    <row r="43" spans="1:17" ht="18" customHeight="1">
      <c r="A43" s="105"/>
      <c r="B43" s="105"/>
      <c r="C43" s="105"/>
      <c r="D43" s="105"/>
      <c r="E43" s="105"/>
      <c r="F43" s="105"/>
      <c r="G43" s="105"/>
      <c r="H43" s="105"/>
      <c r="I43" s="105"/>
      <c r="J43" s="105"/>
      <c r="K43" s="105"/>
      <c r="L43" s="105"/>
      <c r="M43" s="112"/>
      <c r="N43" s="112"/>
      <c r="O43" s="112"/>
      <c r="P43" s="112"/>
      <c r="Q43" s="112"/>
    </row>
    <row r="44" spans="1:17" ht="18" customHeight="1">
      <c r="A44" s="105"/>
      <c r="B44" s="105"/>
      <c r="C44" s="105"/>
      <c r="D44" s="105"/>
      <c r="E44" s="105"/>
      <c r="F44" s="105"/>
      <c r="G44" s="105"/>
      <c r="H44" s="105"/>
      <c r="I44" s="105"/>
      <c r="J44" s="105"/>
      <c r="K44" s="105"/>
      <c r="L44" s="105"/>
      <c r="M44" s="112"/>
      <c r="N44" s="112"/>
      <c r="O44" s="112"/>
      <c r="P44" s="112"/>
      <c r="Q44" s="112"/>
    </row>
    <row r="45" spans="1:17" ht="18" customHeight="1">
      <c r="A45" s="105"/>
      <c r="B45" s="105"/>
      <c r="C45" s="105"/>
      <c r="D45" s="105"/>
      <c r="E45" s="105"/>
      <c r="F45" s="105"/>
      <c r="G45" s="105"/>
      <c r="H45" s="105"/>
      <c r="I45" s="105"/>
      <c r="J45" s="105"/>
      <c r="K45" s="105"/>
      <c r="L45" s="105"/>
      <c r="M45" s="112"/>
      <c r="N45" s="112"/>
      <c r="O45" s="112"/>
      <c r="P45" s="112"/>
      <c r="Q45" s="112"/>
    </row>
    <row r="46" spans="1:17" ht="18" customHeight="1">
      <c r="A46" s="105"/>
      <c r="B46" s="105"/>
      <c r="C46" s="105"/>
      <c r="D46" s="105"/>
      <c r="E46" s="105"/>
      <c r="F46" s="105"/>
      <c r="G46" s="105"/>
      <c r="H46" s="105"/>
      <c r="I46" s="105"/>
      <c r="J46" s="105"/>
      <c r="K46" s="105"/>
      <c r="L46" s="105"/>
      <c r="M46" s="112"/>
      <c r="N46" s="112"/>
      <c r="O46" s="112"/>
      <c r="P46" s="112"/>
      <c r="Q46" s="112"/>
    </row>
    <row r="47" spans="1:17" ht="18" customHeight="1">
      <c r="A47" s="105"/>
      <c r="B47" s="105"/>
      <c r="C47" s="105"/>
      <c r="D47" s="105"/>
      <c r="E47" s="105"/>
      <c r="F47" s="105"/>
      <c r="G47" s="105"/>
      <c r="H47" s="105"/>
      <c r="I47" s="105"/>
      <c r="J47" s="105"/>
      <c r="K47" s="105"/>
      <c r="L47" s="105"/>
      <c r="M47" s="112"/>
      <c r="N47" s="112"/>
      <c r="O47" s="112"/>
      <c r="P47" s="112"/>
      <c r="Q47" s="112"/>
    </row>
    <row r="48" spans="1:17" ht="18" customHeight="1">
      <c r="A48" s="105"/>
      <c r="B48" s="105"/>
      <c r="C48" s="105"/>
      <c r="D48" s="105"/>
      <c r="E48" s="105"/>
      <c r="F48" s="105"/>
      <c r="G48" s="105"/>
      <c r="H48" s="105"/>
      <c r="I48" s="105"/>
      <c r="J48" s="105"/>
      <c r="K48" s="105"/>
      <c r="L48" s="105"/>
      <c r="M48" s="112"/>
      <c r="N48" s="112"/>
      <c r="O48" s="112"/>
      <c r="P48" s="112"/>
      <c r="Q48" s="112"/>
    </row>
    <row r="49" spans="1:17" ht="18" customHeight="1">
      <c r="A49" s="105"/>
      <c r="B49" s="105"/>
      <c r="C49" s="105"/>
      <c r="D49" s="105"/>
      <c r="E49" s="105"/>
      <c r="F49" s="105"/>
      <c r="G49" s="105"/>
      <c r="H49" s="105"/>
      <c r="I49" s="105"/>
      <c r="J49" s="105"/>
      <c r="K49" s="105"/>
      <c r="L49" s="105"/>
      <c r="M49" s="112"/>
      <c r="N49" s="112"/>
      <c r="O49" s="112"/>
      <c r="P49" s="112"/>
      <c r="Q49" s="112"/>
    </row>
    <row r="50" spans="1:17" ht="18" customHeight="1">
      <c r="A50" s="105"/>
      <c r="B50" s="105"/>
      <c r="C50" s="105"/>
      <c r="D50" s="105"/>
      <c r="E50" s="105"/>
      <c r="F50" s="105"/>
      <c r="G50" s="105"/>
      <c r="H50" s="105"/>
      <c r="I50" s="105"/>
      <c r="J50" s="105"/>
      <c r="K50" s="105"/>
      <c r="L50" s="105"/>
      <c r="M50" s="112"/>
      <c r="N50" s="112"/>
      <c r="O50" s="112"/>
      <c r="P50" s="112"/>
      <c r="Q50" s="112"/>
    </row>
    <row r="51" spans="1:17" ht="18" customHeight="1">
      <c r="A51" s="105"/>
      <c r="B51" s="105"/>
      <c r="C51" s="105"/>
      <c r="D51" s="105"/>
      <c r="E51" s="105"/>
      <c r="F51" s="105"/>
      <c r="G51" s="105"/>
      <c r="H51" s="105"/>
      <c r="I51" s="105"/>
      <c r="J51" s="105"/>
      <c r="K51" s="105"/>
      <c r="L51" s="105"/>
      <c r="M51" s="112"/>
      <c r="N51" s="112"/>
      <c r="O51" s="112"/>
      <c r="P51" s="112"/>
      <c r="Q51" s="112"/>
    </row>
    <row r="52" spans="1:17" ht="18" customHeight="1">
      <c r="A52" s="105"/>
      <c r="B52" s="120"/>
      <c r="C52" s="118"/>
      <c r="D52" s="118"/>
      <c r="E52" s="118"/>
      <c r="F52" s="118"/>
      <c r="G52" s="118"/>
      <c r="H52" s="118"/>
      <c r="I52" s="118"/>
      <c r="J52" s="118"/>
      <c r="K52" s="118"/>
      <c r="L52" s="118"/>
      <c r="M52" s="112"/>
      <c r="N52" s="112"/>
      <c r="O52" s="112"/>
      <c r="P52" s="112"/>
      <c r="Q52" s="112"/>
    </row>
    <row r="53" spans="1:17">
      <c r="M53" s="112"/>
      <c r="N53" s="112"/>
      <c r="O53" s="112"/>
      <c r="P53" s="112"/>
      <c r="Q53" s="112"/>
    </row>
  </sheetData>
  <mergeCells count="19">
    <mergeCell ref="B2:L2"/>
    <mergeCell ref="B3:L3"/>
    <mergeCell ref="B5:C5"/>
    <mergeCell ref="D5:E5"/>
    <mergeCell ref="F5:G5"/>
    <mergeCell ref="H5:I5"/>
    <mergeCell ref="J5:K5"/>
    <mergeCell ref="B52:L52"/>
    <mergeCell ref="B6:C7"/>
    <mergeCell ref="D6:E7"/>
    <mergeCell ref="F6:G7"/>
    <mergeCell ref="H6:I7"/>
    <mergeCell ref="J6:K7"/>
    <mergeCell ref="B9:C9"/>
    <mergeCell ref="H36:L36"/>
    <mergeCell ref="H37:L37"/>
    <mergeCell ref="H38:L38"/>
    <mergeCell ref="H39:L39"/>
    <mergeCell ref="H40:L4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9E683-D32F-48D1-9BD7-F7C93FD297B1}">
  <sheetPr>
    <tabColor rgb="FF92D050"/>
  </sheetPr>
  <dimension ref="A3:B87"/>
  <sheetViews>
    <sheetView zoomScale="89" zoomScaleNormal="65" workbookViewId="0">
      <selection activeCell="L12" sqref="L12"/>
    </sheetView>
  </sheetViews>
  <sheetFormatPr defaultRowHeight="14.5"/>
  <cols>
    <col min="1" max="1" width="13.08984375" bestFit="1" customWidth="1"/>
    <col min="2" max="2" width="19.6328125" bestFit="1" customWidth="1"/>
  </cols>
  <sheetData>
    <row r="3" spans="1:2">
      <c r="A3" s="12" t="s">
        <v>143</v>
      </c>
      <c r="B3" t="s">
        <v>140</v>
      </c>
    </row>
    <row r="4" spans="1:2">
      <c r="A4" s="13" t="s">
        <v>11</v>
      </c>
      <c r="B4">
        <v>69</v>
      </c>
    </row>
    <row r="5" spans="1:2">
      <c r="A5" s="13" t="s">
        <v>17</v>
      </c>
      <c r="B5">
        <v>64</v>
      </c>
    </row>
    <row r="6" spans="1:2">
      <c r="A6" s="13" t="s">
        <v>268</v>
      </c>
      <c r="B6">
        <v>51</v>
      </c>
    </row>
    <row r="7" spans="1:2">
      <c r="A7" s="13" t="s">
        <v>264</v>
      </c>
      <c r="B7">
        <v>59</v>
      </c>
    </row>
    <row r="8" spans="1:2">
      <c r="A8" s="13" t="s">
        <v>27</v>
      </c>
      <c r="B8">
        <v>48</v>
      </c>
    </row>
    <row r="9" spans="1:2">
      <c r="A9" s="13" t="s">
        <v>258</v>
      </c>
      <c r="B9">
        <v>61</v>
      </c>
    </row>
    <row r="10" spans="1:2">
      <c r="A10" s="13" t="s">
        <v>260</v>
      </c>
      <c r="B10">
        <v>74</v>
      </c>
    </row>
    <row r="11" spans="1:2">
      <c r="A11" s="13" t="s">
        <v>38</v>
      </c>
      <c r="B11">
        <v>51</v>
      </c>
    </row>
    <row r="12" spans="1:2">
      <c r="A12" s="13" t="s">
        <v>144</v>
      </c>
      <c r="B12">
        <v>477</v>
      </c>
    </row>
    <row r="20" spans="1:2">
      <c r="A20" s="12" t="s">
        <v>143</v>
      </c>
      <c r="B20" t="s">
        <v>316</v>
      </c>
    </row>
    <row r="21" spans="1:2">
      <c r="A21" s="13" t="s">
        <v>28</v>
      </c>
      <c r="B21">
        <v>458098.59154929576</v>
      </c>
    </row>
    <row r="22" spans="1:2">
      <c r="A22" s="13" t="s">
        <v>18</v>
      </c>
      <c r="B22">
        <v>416168.83116883115</v>
      </c>
    </row>
    <row r="23" spans="1:2">
      <c r="A23" s="13" t="s">
        <v>12</v>
      </c>
      <c r="B23">
        <v>596557.69230769225</v>
      </c>
    </row>
    <row r="24" spans="1:2">
      <c r="A24" s="13" t="s">
        <v>32</v>
      </c>
      <c r="B24">
        <v>364782.60869565216</v>
      </c>
    </row>
    <row r="25" spans="1:2">
      <c r="A25" s="13" t="s">
        <v>144</v>
      </c>
      <c r="B25">
        <v>513301.88679245283</v>
      </c>
    </row>
    <row r="31" spans="1:2">
      <c r="A31" s="12" t="s">
        <v>6</v>
      </c>
      <c r="B31" t="s">
        <v>323</v>
      </c>
    </row>
    <row r="33" spans="1:2">
      <c r="A33" s="12" t="s">
        <v>143</v>
      </c>
      <c r="B33" t="s">
        <v>140</v>
      </c>
    </row>
    <row r="34" spans="1:2">
      <c r="A34" s="13" t="s">
        <v>261</v>
      </c>
      <c r="B34">
        <v>41</v>
      </c>
    </row>
    <row r="35" spans="1:2">
      <c r="A35" s="13" t="s">
        <v>13</v>
      </c>
      <c r="B35">
        <v>58</v>
      </c>
    </row>
    <row r="36" spans="1:2">
      <c r="A36" s="13" t="s">
        <v>303</v>
      </c>
      <c r="B36">
        <v>47</v>
      </c>
    </row>
    <row r="37" spans="1:2">
      <c r="A37" s="13" t="s">
        <v>297</v>
      </c>
      <c r="B37">
        <v>39</v>
      </c>
    </row>
    <row r="38" spans="1:2">
      <c r="A38" s="13" t="s">
        <v>19</v>
      </c>
      <c r="B38">
        <v>34</v>
      </c>
    </row>
    <row r="39" spans="1:2">
      <c r="A39" s="13" t="s">
        <v>29</v>
      </c>
      <c r="B39">
        <v>32</v>
      </c>
    </row>
    <row r="40" spans="1:2">
      <c r="A40" s="13" t="s">
        <v>36</v>
      </c>
      <c r="B40">
        <v>30</v>
      </c>
    </row>
    <row r="41" spans="1:2">
      <c r="A41" s="13" t="s">
        <v>33</v>
      </c>
      <c r="B41">
        <v>42</v>
      </c>
    </row>
    <row r="42" spans="1:2">
      <c r="A42" s="13" t="s">
        <v>300</v>
      </c>
      <c r="B42">
        <v>27</v>
      </c>
    </row>
    <row r="43" spans="1:2">
      <c r="A43" s="13" t="s">
        <v>23</v>
      </c>
      <c r="B43">
        <v>39</v>
      </c>
    </row>
    <row r="44" spans="1:2">
      <c r="A44" s="13" t="s">
        <v>39</v>
      </c>
      <c r="B44">
        <v>43</v>
      </c>
    </row>
    <row r="45" spans="1:2">
      <c r="A45" s="13" t="s">
        <v>265</v>
      </c>
      <c r="B45">
        <v>45</v>
      </c>
    </row>
    <row r="46" spans="1:2">
      <c r="A46" s="13" t="s">
        <v>144</v>
      </c>
      <c r="B46">
        <v>477</v>
      </c>
    </row>
    <row r="51" spans="1:2">
      <c r="A51" s="12" t="s">
        <v>143</v>
      </c>
      <c r="B51" t="s">
        <v>315</v>
      </c>
    </row>
    <row r="52" spans="1:2">
      <c r="A52" s="13" t="s">
        <v>20</v>
      </c>
      <c r="B52">
        <v>118</v>
      </c>
    </row>
    <row r="53" spans="1:2">
      <c r="A53" s="13" t="s">
        <v>34</v>
      </c>
      <c r="B53">
        <v>111</v>
      </c>
    </row>
    <row r="54" spans="1:2">
      <c r="A54" s="13" t="s">
        <v>24</v>
      </c>
      <c r="B54">
        <v>126</v>
      </c>
    </row>
    <row r="55" spans="1:2">
      <c r="A55" s="13" t="s">
        <v>14</v>
      </c>
      <c r="B55">
        <v>122</v>
      </c>
    </row>
    <row r="56" spans="1:2">
      <c r="A56" s="13" t="s">
        <v>144</v>
      </c>
      <c r="B56">
        <v>477</v>
      </c>
    </row>
    <row r="60" spans="1:2">
      <c r="A60" s="12" t="s">
        <v>143</v>
      </c>
      <c r="B60" t="s">
        <v>140</v>
      </c>
    </row>
    <row r="61" spans="1:2">
      <c r="A61" s="13" t="s">
        <v>256</v>
      </c>
      <c r="B61">
        <v>84</v>
      </c>
    </row>
    <row r="62" spans="1:2">
      <c r="A62" s="13" t="s">
        <v>21</v>
      </c>
      <c r="B62">
        <v>164</v>
      </c>
    </row>
    <row r="63" spans="1:2">
      <c r="A63" s="13" t="s">
        <v>25</v>
      </c>
      <c r="B63">
        <v>118</v>
      </c>
    </row>
    <row r="64" spans="1:2">
      <c r="A64" s="13" t="s">
        <v>15</v>
      </c>
      <c r="B64">
        <v>111</v>
      </c>
    </row>
    <row r="65" spans="1:2">
      <c r="A65" s="13" t="s">
        <v>144</v>
      </c>
      <c r="B65">
        <v>477</v>
      </c>
    </row>
    <row r="75" spans="1:2">
      <c r="A75" s="12" t="s">
        <v>6</v>
      </c>
      <c r="B75" t="s">
        <v>323</v>
      </c>
    </row>
    <row r="77" spans="1:2">
      <c r="A77" s="12" t="s">
        <v>143</v>
      </c>
      <c r="B77" t="s">
        <v>140</v>
      </c>
    </row>
    <row r="78" spans="1:2">
      <c r="A78" s="13">
        <v>1</v>
      </c>
      <c r="B78">
        <v>6</v>
      </c>
    </row>
    <row r="79" spans="1:2">
      <c r="A79" s="13">
        <v>2</v>
      </c>
      <c r="B79">
        <v>5</v>
      </c>
    </row>
    <row r="80" spans="1:2">
      <c r="A80" s="13">
        <v>3</v>
      </c>
      <c r="B80">
        <v>5</v>
      </c>
    </row>
    <row r="81" spans="1:2">
      <c r="A81" s="13">
        <v>4</v>
      </c>
      <c r="B81">
        <v>5</v>
      </c>
    </row>
    <row r="82" spans="1:2">
      <c r="A82" s="13">
        <v>5</v>
      </c>
      <c r="B82">
        <v>87</v>
      </c>
    </row>
    <row r="83" spans="1:2">
      <c r="A83" s="13">
        <v>6</v>
      </c>
      <c r="B83">
        <v>99</v>
      </c>
    </row>
    <row r="84" spans="1:2">
      <c r="A84" s="13">
        <v>7</v>
      </c>
      <c r="B84">
        <v>99</v>
      </c>
    </row>
    <row r="85" spans="1:2">
      <c r="A85" s="13">
        <v>8</v>
      </c>
      <c r="B85">
        <v>87</v>
      </c>
    </row>
    <row r="86" spans="1:2">
      <c r="A86" s="13">
        <v>9</v>
      </c>
      <c r="B86">
        <v>84</v>
      </c>
    </row>
    <row r="87" spans="1:2">
      <c r="A87" s="13" t="s">
        <v>144</v>
      </c>
      <c r="B87">
        <v>477</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854E5-7F00-4C02-BAB5-41F86E7C993E}">
  <dimension ref="A2:H107"/>
  <sheetViews>
    <sheetView workbookViewId="0">
      <selection activeCell="G29" sqref="G29"/>
    </sheetView>
  </sheetViews>
  <sheetFormatPr defaultRowHeight="17" customHeight="1"/>
  <cols>
    <col min="1" max="1" width="14.90625" customWidth="1"/>
    <col min="2" max="2" width="12.36328125" customWidth="1"/>
    <col min="3" max="3" width="15.36328125" customWidth="1"/>
    <col min="4" max="4" width="9.90625" customWidth="1"/>
    <col min="5" max="5" width="15.36328125" customWidth="1"/>
    <col min="6" max="6" width="12.81640625" customWidth="1"/>
    <col min="7" max="7" width="14.1796875" customWidth="1"/>
  </cols>
  <sheetData>
    <row r="2" spans="1:6" ht="17" customHeight="1">
      <c r="A2" s="6" t="s">
        <v>52</v>
      </c>
    </row>
    <row r="4" spans="1:6" ht="17" customHeight="1">
      <c r="A4" s="7" t="s">
        <v>53</v>
      </c>
    </row>
    <row r="6" spans="1:6" ht="17" customHeight="1">
      <c r="A6" s="143" t="s">
        <v>54</v>
      </c>
      <c r="B6" s="143"/>
      <c r="C6" s="143"/>
      <c r="D6" s="143"/>
      <c r="E6" s="8">
        <f>COUNT('Raw Data1'!A2:A477)</f>
        <v>476</v>
      </c>
    </row>
    <row r="8" spans="1:6" ht="17" customHeight="1">
      <c r="A8" s="7" t="s">
        <v>55</v>
      </c>
    </row>
    <row r="10" spans="1:6" ht="17" customHeight="1">
      <c r="A10" s="144" t="s">
        <v>56</v>
      </c>
      <c r="B10" s="145"/>
      <c r="C10" s="146"/>
      <c r="D10" s="18">
        <f>COUNTIF('Raw Data1'!C2:C477,'Raw Data1'!C17)</f>
        <v>68</v>
      </c>
    </row>
    <row r="12" spans="1:6" ht="17" customHeight="1">
      <c r="A12" s="7" t="s">
        <v>57</v>
      </c>
    </row>
    <row r="14" spans="1:6" ht="17" customHeight="1">
      <c r="A14" s="144" t="s">
        <v>58</v>
      </c>
      <c r="B14" s="145"/>
      <c r="C14" s="145"/>
      <c r="D14" s="145"/>
      <c r="E14" s="146"/>
      <c r="F14" s="18">
        <f>COUNTIFS('Raw Data1'!C2:C477,'Raw Data1'!C6,'Raw Data1'!G2:G477,'Raw Data1'!G5)</f>
        <v>17</v>
      </c>
    </row>
    <row r="16" spans="1:6" ht="17" customHeight="1">
      <c r="A16" s="7" t="s">
        <v>59</v>
      </c>
    </row>
    <row r="18" spans="1:8" ht="17" customHeight="1">
      <c r="A18" s="144" t="s">
        <v>60</v>
      </c>
      <c r="B18" s="145"/>
      <c r="C18" s="145"/>
      <c r="D18" s="146"/>
      <c r="E18" s="18">
        <f>COUNTIF('Raw Data1'!$F$2:$F$477,'Raw Data1'!$F$3)</f>
        <v>117</v>
      </c>
    </row>
    <row r="20" spans="1:8" ht="17" customHeight="1">
      <c r="A20" s="7" t="s">
        <v>61</v>
      </c>
    </row>
    <row r="22" spans="1:8" ht="17" customHeight="1">
      <c r="A22" s="19" t="s">
        <v>62</v>
      </c>
      <c r="B22" s="19"/>
      <c r="C22" s="19"/>
      <c r="D22" s="19"/>
      <c r="E22" s="18">
        <f>COUNTIFS('Raw Data1'!D2:D477,'Raw Data1'!D2,'Raw Data1'!G2:G477,'Raw Data1'!$G$3)</f>
        <v>89</v>
      </c>
    </row>
    <row r="24" spans="1:8" ht="17" customHeight="1">
      <c r="A24" s="7" t="s">
        <v>63</v>
      </c>
    </row>
    <row r="26" spans="1:8" ht="17" customHeight="1">
      <c r="A26" s="19" t="s">
        <v>64</v>
      </c>
      <c r="B26" s="19"/>
      <c r="C26" s="19"/>
      <c r="D26" s="19"/>
      <c r="E26" s="18">
        <f>COUNTIF(HR_Data[Experience],"&gt;1")</f>
        <v>316</v>
      </c>
      <c r="H26" s="87"/>
    </row>
    <row r="28" spans="1:8" ht="17" customHeight="1">
      <c r="A28" s="6" t="s">
        <v>65</v>
      </c>
    </row>
    <row r="30" spans="1:8" ht="17" customHeight="1">
      <c r="A30" t="s">
        <v>66</v>
      </c>
    </row>
    <row r="31" spans="1:8" ht="17" customHeight="1">
      <c r="A31" s="10"/>
    </row>
    <row r="32" spans="1:8" ht="17" customHeight="1">
      <c r="A32" s="10" t="s">
        <v>67</v>
      </c>
    </row>
    <row r="33" spans="1:2" ht="17" customHeight="1">
      <c r="A33" s="10" t="s">
        <v>68</v>
      </c>
    </row>
    <row r="35" spans="1:2" ht="17" customHeight="1">
      <c r="A35" s="7" t="s">
        <v>69</v>
      </c>
    </row>
    <row r="37" spans="1:2" ht="17" customHeight="1">
      <c r="A37" s="142"/>
      <c r="B37" s="142"/>
    </row>
    <row r="39" spans="1:2" ht="17" customHeight="1">
      <c r="A39" s="6" t="s">
        <v>70</v>
      </c>
    </row>
    <row r="40" spans="1:2" ht="17" customHeight="1">
      <c r="A40" s="9" t="s">
        <v>72</v>
      </c>
    </row>
    <row r="42" spans="1:2" ht="17" customHeight="1">
      <c r="A42" s="7" t="s">
        <v>81</v>
      </c>
    </row>
    <row r="44" spans="1:2" ht="17" customHeight="1">
      <c r="A44" s="3" t="s">
        <v>73</v>
      </c>
      <c r="B44" s="3" t="s">
        <v>74</v>
      </c>
    </row>
    <row r="45" spans="1:2" ht="17" customHeight="1">
      <c r="A45" s="4" t="s">
        <v>75</v>
      </c>
      <c r="B45" s="4" t="s">
        <v>76</v>
      </c>
    </row>
    <row r="46" spans="1:2" ht="17" customHeight="1">
      <c r="A46" s="4" t="s">
        <v>77</v>
      </c>
      <c r="B46" s="4" t="s">
        <v>78</v>
      </c>
    </row>
    <row r="47" spans="1:2" ht="17" customHeight="1">
      <c r="A47" s="4" t="s">
        <v>79</v>
      </c>
      <c r="B47" s="4" t="s">
        <v>80</v>
      </c>
    </row>
    <row r="49" spans="1:2" ht="17" customHeight="1">
      <c r="A49" s="6" t="s">
        <v>82</v>
      </c>
    </row>
    <row r="50" spans="1:2" ht="17" customHeight="1">
      <c r="A50" s="9" t="s">
        <v>83</v>
      </c>
    </row>
    <row r="52" spans="1:2" ht="14.5" customHeight="1">
      <c r="A52" s="7" t="s">
        <v>88</v>
      </c>
    </row>
    <row r="53" spans="1:2" ht="17" customHeight="1">
      <c r="A53" s="10"/>
    </row>
    <row r="54" spans="1:2" ht="17" customHeight="1">
      <c r="A54" s="10" t="s">
        <v>84</v>
      </c>
    </row>
    <row r="55" spans="1:2" ht="17" customHeight="1">
      <c r="A55" s="10" t="s">
        <v>85</v>
      </c>
    </row>
    <row r="56" spans="1:2" ht="17" customHeight="1">
      <c r="A56" s="10" t="s">
        <v>86</v>
      </c>
    </row>
    <row r="57" spans="1:2" ht="17" customHeight="1">
      <c r="A57" s="10" t="s">
        <v>87</v>
      </c>
    </row>
    <row r="58" spans="1:2" ht="17" customHeight="1">
      <c r="B58" s="1"/>
    </row>
    <row r="59" spans="1:2" ht="17" customHeight="1">
      <c r="A59" s="6" t="s">
        <v>89</v>
      </c>
    </row>
    <row r="61" spans="1:2" ht="17" customHeight="1">
      <c r="A61" t="s">
        <v>71</v>
      </c>
    </row>
    <row r="63" spans="1:2" ht="17" customHeight="1">
      <c r="A63" s="9" t="s">
        <v>90</v>
      </c>
    </row>
    <row r="65" spans="1:7" ht="17" customHeight="1">
      <c r="A65" t="s">
        <v>91</v>
      </c>
    </row>
    <row r="67" spans="1:7" ht="17" customHeight="1">
      <c r="A67" s="7" t="s">
        <v>92</v>
      </c>
    </row>
    <row r="69" spans="1:7" ht="17" customHeight="1">
      <c r="A69" t="s">
        <v>93</v>
      </c>
    </row>
    <row r="70" spans="1:7" ht="17" customHeight="1">
      <c r="A70" s="10"/>
    </row>
    <row r="71" spans="1:7" ht="17" customHeight="1">
      <c r="A71" s="10" t="s">
        <v>94</v>
      </c>
    </row>
    <row r="72" spans="1:7" ht="17" customHeight="1">
      <c r="A72" s="10" t="s">
        <v>95</v>
      </c>
    </row>
    <row r="74" spans="1:7" ht="17" customHeight="1">
      <c r="B74" s="143" t="s">
        <v>96</v>
      </c>
      <c r="C74" s="143"/>
      <c r="D74" s="143"/>
      <c r="E74" s="143"/>
      <c r="F74" s="143"/>
    </row>
    <row r="75" spans="1:7" ht="17" customHeight="1">
      <c r="B75" s="76" t="s">
        <v>0</v>
      </c>
      <c r="C75" s="75" t="s">
        <v>1</v>
      </c>
      <c r="D75" s="76" t="s">
        <v>97</v>
      </c>
      <c r="E75" s="75" t="s">
        <v>7</v>
      </c>
      <c r="F75" s="75" t="s">
        <v>6</v>
      </c>
      <c r="G75" s="75" t="s">
        <v>90</v>
      </c>
    </row>
    <row r="76" spans="1:7" ht="17" customHeight="1">
      <c r="B76" s="20">
        <v>4100001</v>
      </c>
      <c r="C76" s="16" t="s">
        <v>98</v>
      </c>
      <c r="D76" s="20">
        <v>90101</v>
      </c>
      <c r="E76" s="21">
        <v>46027</v>
      </c>
      <c r="F76" s="16" t="s">
        <v>15</v>
      </c>
      <c r="G76" s="18" t="str">
        <f t="shared" ref="G76:G104" si="0">IF(COUNTIF($B$76:$B$104,B76)&gt;1,"Duplicate","Unique")</f>
        <v>Duplicate</v>
      </c>
    </row>
    <row r="77" spans="1:7" ht="17" customHeight="1">
      <c r="B77" s="20">
        <v>4100002</v>
      </c>
      <c r="C77" s="16" t="s">
        <v>16</v>
      </c>
      <c r="D77" s="20">
        <v>90105</v>
      </c>
      <c r="E77" s="21">
        <v>46030</v>
      </c>
      <c r="F77" s="16" t="s">
        <v>21</v>
      </c>
      <c r="G77" s="18" t="str">
        <f t="shared" si="0"/>
        <v>Unique</v>
      </c>
    </row>
    <row r="78" spans="1:7" ht="17" customHeight="1">
      <c r="B78" s="20">
        <v>4100003</v>
      </c>
      <c r="C78" s="16" t="s">
        <v>22</v>
      </c>
      <c r="D78" s="20">
        <v>90108</v>
      </c>
      <c r="E78" s="21">
        <v>46034</v>
      </c>
      <c r="F78" s="16" t="s">
        <v>25</v>
      </c>
      <c r="G78" s="18" t="str">
        <f t="shared" si="0"/>
        <v>Duplicate</v>
      </c>
    </row>
    <row r="79" spans="1:7" ht="17" customHeight="1">
      <c r="B79" s="20">
        <v>4100004</v>
      </c>
      <c r="C79" s="16" t="s">
        <v>26</v>
      </c>
      <c r="D79" s="20">
        <v>90112</v>
      </c>
      <c r="E79" s="21">
        <v>46037</v>
      </c>
      <c r="F79" s="16" t="s">
        <v>99</v>
      </c>
      <c r="G79" s="18" t="str">
        <f t="shared" si="0"/>
        <v>Unique</v>
      </c>
    </row>
    <row r="80" spans="1:7" ht="17" customHeight="1">
      <c r="B80" s="20">
        <v>4100005</v>
      </c>
      <c r="C80" s="16" t="s">
        <v>30</v>
      </c>
      <c r="D80" s="20">
        <v>90115</v>
      </c>
      <c r="E80" s="21">
        <v>46040</v>
      </c>
      <c r="F80" s="16" t="s">
        <v>15</v>
      </c>
      <c r="G80" s="18" t="str">
        <f t="shared" si="0"/>
        <v>Duplicate</v>
      </c>
    </row>
    <row r="81" spans="2:7" ht="17" customHeight="1">
      <c r="B81" s="20">
        <v>4100006</v>
      </c>
      <c r="C81" s="16" t="s">
        <v>31</v>
      </c>
      <c r="D81" s="20">
        <v>90119</v>
      </c>
      <c r="E81" s="21">
        <v>46044</v>
      </c>
      <c r="F81" s="16" t="s">
        <v>21</v>
      </c>
      <c r="G81" s="18" t="str">
        <f t="shared" si="0"/>
        <v>Duplicate</v>
      </c>
    </row>
    <row r="82" spans="2:7" ht="17" customHeight="1">
      <c r="B82" s="20">
        <v>4100003</v>
      </c>
      <c r="C82" s="16" t="s">
        <v>22</v>
      </c>
      <c r="D82" s="20">
        <v>90125</v>
      </c>
      <c r="E82" s="21">
        <v>46047</v>
      </c>
      <c r="F82" s="16" t="s">
        <v>21</v>
      </c>
      <c r="G82" s="18" t="str">
        <f t="shared" si="0"/>
        <v>Duplicate</v>
      </c>
    </row>
    <row r="83" spans="2:7" ht="17" customHeight="1">
      <c r="B83" s="20">
        <v>4100007</v>
      </c>
      <c r="C83" s="16" t="s">
        <v>35</v>
      </c>
      <c r="D83" s="20">
        <v>90128</v>
      </c>
      <c r="E83" s="21">
        <v>46050</v>
      </c>
      <c r="F83" s="16" t="s">
        <v>25</v>
      </c>
      <c r="G83" s="18" t="str">
        <f t="shared" si="0"/>
        <v>Unique</v>
      </c>
    </row>
    <row r="84" spans="2:7" ht="17" customHeight="1">
      <c r="B84" s="20">
        <v>4100008</v>
      </c>
      <c r="C84" s="16" t="s">
        <v>37</v>
      </c>
      <c r="D84" s="20">
        <v>90131</v>
      </c>
      <c r="E84" s="21">
        <v>46055</v>
      </c>
      <c r="F84" s="16" t="s">
        <v>15</v>
      </c>
      <c r="G84" s="18" t="str">
        <f t="shared" si="0"/>
        <v>Duplicate</v>
      </c>
    </row>
    <row r="85" spans="2:7" ht="17" customHeight="1">
      <c r="B85" s="20">
        <v>4100009</v>
      </c>
      <c r="C85" s="16" t="s">
        <v>40</v>
      </c>
      <c r="D85" s="20">
        <v>90135</v>
      </c>
      <c r="E85" s="21">
        <v>46058</v>
      </c>
      <c r="F85" s="16" t="s">
        <v>99</v>
      </c>
      <c r="G85" s="18" t="str">
        <f t="shared" si="0"/>
        <v>Unique</v>
      </c>
    </row>
    <row r="86" spans="2:7" ht="17" customHeight="1">
      <c r="B86" s="20">
        <v>4100005</v>
      </c>
      <c r="C86" s="16" t="s">
        <v>30</v>
      </c>
      <c r="D86" s="20">
        <v>90139</v>
      </c>
      <c r="E86" s="21">
        <v>46062</v>
      </c>
      <c r="F86" s="16" t="s">
        <v>25</v>
      </c>
      <c r="G86" s="18" t="str">
        <f t="shared" si="0"/>
        <v>Duplicate</v>
      </c>
    </row>
    <row r="87" spans="2:7" ht="17" customHeight="1">
      <c r="B87" s="20">
        <v>4100010</v>
      </c>
      <c r="C87" s="16" t="s">
        <v>41</v>
      </c>
      <c r="D87" s="20">
        <v>90142</v>
      </c>
      <c r="E87" s="21">
        <v>46065</v>
      </c>
      <c r="F87" s="16" t="s">
        <v>21</v>
      </c>
      <c r="G87" s="18" t="str">
        <f t="shared" si="0"/>
        <v>Duplicate</v>
      </c>
    </row>
    <row r="88" spans="2:7" ht="17" customHeight="1">
      <c r="B88" s="20">
        <v>4100011</v>
      </c>
      <c r="C88" s="16" t="s">
        <v>42</v>
      </c>
      <c r="D88" s="20">
        <v>90146</v>
      </c>
      <c r="E88" s="21">
        <v>46069</v>
      </c>
      <c r="F88" s="16" t="s">
        <v>15</v>
      </c>
      <c r="G88" s="18" t="str">
        <f t="shared" si="0"/>
        <v>Unique</v>
      </c>
    </row>
    <row r="89" spans="2:7" ht="27.5" customHeight="1">
      <c r="B89" s="20">
        <v>4100006</v>
      </c>
      <c r="C89" s="16" t="s">
        <v>31</v>
      </c>
      <c r="D89" s="20">
        <v>90150</v>
      </c>
      <c r="E89" s="21">
        <v>46073</v>
      </c>
      <c r="F89" s="16" t="s">
        <v>25</v>
      </c>
      <c r="G89" s="18" t="str">
        <f t="shared" si="0"/>
        <v>Duplicate</v>
      </c>
    </row>
    <row r="90" spans="2:7" ht="17" customHeight="1">
      <c r="B90" s="20">
        <v>4100012</v>
      </c>
      <c r="C90" s="16" t="s">
        <v>43</v>
      </c>
      <c r="D90" s="20">
        <v>90154</v>
      </c>
      <c r="E90" s="21">
        <v>46077</v>
      </c>
      <c r="F90" s="16" t="s">
        <v>99</v>
      </c>
      <c r="G90" s="18" t="str">
        <f t="shared" si="0"/>
        <v>Duplicate</v>
      </c>
    </row>
    <row r="91" spans="2:7" ht="17" customHeight="1">
      <c r="B91" s="20">
        <v>4100008</v>
      </c>
      <c r="C91" s="16" t="s">
        <v>37</v>
      </c>
      <c r="D91" s="20">
        <v>90158</v>
      </c>
      <c r="E91" s="21">
        <v>46081</v>
      </c>
      <c r="F91" s="16" t="s">
        <v>21</v>
      </c>
      <c r="G91" s="18" t="str">
        <f t="shared" si="0"/>
        <v>Duplicate</v>
      </c>
    </row>
    <row r="92" spans="2:7" ht="17" customHeight="1">
      <c r="B92" s="20">
        <v>4100013</v>
      </c>
      <c r="C92" s="16" t="s">
        <v>44</v>
      </c>
      <c r="D92" s="20">
        <v>90161</v>
      </c>
      <c r="E92" s="21">
        <v>46084</v>
      </c>
      <c r="F92" s="16" t="s">
        <v>15</v>
      </c>
      <c r="G92" s="18" t="str">
        <f t="shared" si="0"/>
        <v>Unique</v>
      </c>
    </row>
    <row r="93" spans="2:7" ht="17" customHeight="1">
      <c r="B93" s="20">
        <v>4100014</v>
      </c>
      <c r="C93" s="16" t="s">
        <v>45</v>
      </c>
      <c r="D93" s="20">
        <v>90165</v>
      </c>
      <c r="E93" s="21">
        <v>46088</v>
      </c>
      <c r="F93" s="16" t="s">
        <v>25</v>
      </c>
      <c r="G93" s="18" t="str">
        <f t="shared" si="0"/>
        <v>Unique</v>
      </c>
    </row>
    <row r="94" spans="2:7" ht="17" customHeight="1">
      <c r="B94" s="20">
        <v>4100001</v>
      </c>
      <c r="C94" s="16" t="s">
        <v>98</v>
      </c>
      <c r="D94" s="20">
        <v>90169</v>
      </c>
      <c r="E94" s="21">
        <v>46092</v>
      </c>
      <c r="F94" s="16" t="s">
        <v>21</v>
      </c>
      <c r="G94" s="18" t="str">
        <f t="shared" si="0"/>
        <v>Duplicate</v>
      </c>
    </row>
    <row r="95" spans="2:7" ht="17" customHeight="1">
      <c r="B95" s="20">
        <v>4100015</v>
      </c>
      <c r="C95" s="16" t="s">
        <v>46</v>
      </c>
      <c r="D95" s="20">
        <v>90172</v>
      </c>
      <c r="E95" s="21">
        <v>46096</v>
      </c>
      <c r="F95" s="16" t="s">
        <v>99</v>
      </c>
      <c r="G95" s="18" t="str">
        <f t="shared" si="0"/>
        <v>Duplicate</v>
      </c>
    </row>
    <row r="96" spans="2:7" ht="17" customHeight="1">
      <c r="B96" s="20">
        <v>4100016</v>
      </c>
      <c r="C96" s="16" t="s">
        <v>47</v>
      </c>
      <c r="D96" s="20">
        <v>90176</v>
      </c>
      <c r="E96" s="21">
        <v>46100</v>
      </c>
      <c r="F96" s="16" t="s">
        <v>15</v>
      </c>
      <c r="G96" s="18" t="str">
        <f t="shared" si="0"/>
        <v>Unique</v>
      </c>
    </row>
    <row r="97" spans="2:7" ht="17" customHeight="1">
      <c r="B97" s="20">
        <v>4100017</v>
      </c>
      <c r="C97" s="16" t="s">
        <v>48</v>
      </c>
      <c r="D97" s="20">
        <v>90180</v>
      </c>
      <c r="E97" s="21">
        <v>46104</v>
      </c>
      <c r="F97" s="16" t="s">
        <v>21</v>
      </c>
      <c r="G97" s="18" t="str">
        <f t="shared" si="0"/>
        <v>Unique</v>
      </c>
    </row>
    <row r="98" spans="2:7" ht="17" customHeight="1">
      <c r="B98" s="20">
        <v>4100012</v>
      </c>
      <c r="C98" s="16" t="s">
        <v>43</v>
      </c>
      <c r="D98" s="20">
        <v>90184</v>
      </c>
      <c r="E98" s="21">
        <v>46108</v>
      </c>
      <c r="F98" s="16" t="s">
        <v>25</v>
      </c>
      <c r="G98" s="18" t="str">
        <f t="shared" si="0"/>
        <v>Duplicate</v>
      </c>
    </row>
    <row r="99" spans="2:7" ht="17" customHeight="1">
      <c r="B99" s="20">
        <v>4100018</v>
      </c>
      <c r="C99" s="16" t="s">
        <v>49</v>
      </c>
      <c r="D99" s="20">
        <v>90188</v>
      </c>
      <c r="E99" s="21">
        <v>46112</v>
      </c>
      <c r="F99" s="16" t="s">
        <v>15</v>
      </c>
      <c r="G99" s="18" t="str">
        <f t="shared" si="0"/>
        <v>Unique</v>
      </c>
    </row>
    <row r="100" spans="2:7" ht="17" customHeight="1">
      <c r="B100" s="20">
        <v>4100019</v>
      </c>
      <c r="C100" s="16" t="s">
        <v>50</v>
      </c>
      <c r="D100" s="20">
        <v>90192</v>
      </c>
      <c r="E100" s="21">
        <v>46116</v>
      </c>
      <c r="F100" s="16" t="s">
        <v>99</v>
      </c>
      <c r="G100" s="18" t="str">
        <f t="shared" si="0"/>
        <v>Unique</v>
      </c>
    </row>
    <row r="101" spans="2:7" ht="17" customHeight="1">
      <c r="B101" s="20">
        <v>4100010</v>
      </c>
      <c r="C101" s="16" t="s">
        <v>41</v>
      </c>
      <c r="D101" s="20">
        <v>90196</v>
      </c>
      <c r="E101" s="21">
        <v>46120</v>
      </c>
      <c r="F101" s="16" t="s">
        <v>25</v>
      </c>
      <c r="G101" s="18" t="str">
        <f t="shared" si="0"/>
        <v>Duplicate</v>
      </c>
    </row>
    <row r="102" spans="2:7" ht="17" customHeight="1">
      <c r="B102" s="20">
        <v>4100020</v>
      </c>
      <c r="C102" s="16" t="s">
        <v>51</v>
      </c>
      <c r="D102" s="20">
        <v>90200</v>
      </c>
      <c r="E102" s="21">
        <v>46124</v>
      </c>
      <c r="F102" s="16" t="s">
        <v>21</v>
      </c>
      <c r="G102" s="18" t="str">
        <f t="shared" si="0"/>
        <v>Unique</v>
      </c>
    </row>
    <row r="103" spans="2:7" ht="17" customHeight="1">
      <c r="B103" s="20">
        <v>4100015</v>
      </c>
      <c r="C103" s="16" t="s">
        <v>46</v>
      </c>
      <c r="D103" s="20">
        <v>90204</v>
      </c>
      <c r="E103" s="21">
        <v>46128</v>
      </c>
      <c r="F103" s="16" t="s">
        <v>15</v>
      </c>
      <c r="G103" s="18" t="str">
        <f t="shared" si="0"/>
        <v>Duplicate</v>
      </c>
    </row>
    <row r="104" spans="2:7" ht="17" customHeight="1">
      <c r="B104" s="20">
        <v>4100021</v>
      </c>
      <c r="C104" s="16" t="s">
        <v>100</v>
      </c>
      <c r="D104" s="20">
        <v>90208</v>
      </c>
      <c r="E104" s="21">
        <v>46132</v>
      </c>
      <c r="F104" s="16" t="s">
        <v>25</v>
      </c>
      <c r="G104" s="18" t="str">
        <f t="shared" si="0"/>
        <v>Unique</v>
      </c>
    </row>
    <row r="107" spans="2:7" ht="17" customHeight="1">
      <c r="B107" s="4"/>
    </row>
  </sheetData>
  <mergeCells count="6">
    <mergeCell ref="A37:B37"/>
    <mergeCell ref="B74:F74"/>
    <mergeCell ref="A6:D6"/>
    <mergeCell ref="A10:C10"/>
    <mergeCell ref="A14:E14"/>
    <mergeCell ref="A18: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3FF8B-94C8-4229-BCE2-7E2D38BEFD08}">
  <dimension ref="A2:G152"/>
  <sheetViews>
    <sheetView topLeftCell="D1" workbookViewId="0">
      <selection activeCell="B7" sqref="B7"/>
    </sheetView>
  </sheetViews>
  <sheetFormatPr defaultRowHeight="14.5"/>
  <cols>
    <col min="1" max="1" width="14.08984375" customWidth="1"/>
    <col min="2" max="2" width="12.81640625" customWidth="1"/>
    <col min="3" max="3" width="10.90625" bestFit="1" customWidth="1"/>
    <col min="4" max="4" width="13" customWidth="1"/>
    <col min="5" max="5" width="18.453125" customWidth="1"/>
    <col min="6" max="6" width="12.6328125" customWidth="1"/>
    <col min="7" max="7" width="15.26953125" customWidth="1"/>
  </cols>
  <sheetData>
    <row r="2" spans="1:4" ht="31">
      <c r="A2" s="6" t="s">
        <v>102</v>
      </c>
    </row>
    <row r="3" spans="1:4" ht="17.5">
      <c r="A3" s="7" t="s">
        <v>103</v>
      </c>
    </row>
    <row r="4" spans="1:4">
      <c r="A4" t="s">
        <v>104</v>
      </c>
    </row>
    <row r="6" spans="1:4">
      <c r="A6" s="10"/>
      <c r="B6" s="32" t="s">
        <v>105</v>
      </c>
      <c r="C6" s="32" t="s">
        <v>3</v>
      </c>
      <c r="D6" s="32" t="s">
        <v>5</v>
      </c>
    </row>
    <row r="7" spans="1:4">
      <c r="A7" s="10"/>
      <c r="B7" s="19"/>
      <c r="C7" s="19"/>
      <c r="D7" s="19"/>
    </row>
    <row r="8" spans="1:4">
      <c r="A8" s="10"/>
    </row>
    <row r="9" spans="1:4" ht="31">
      <c r="A9" s="6" t="s">
        <v>106</v>
      </c>
    </row>
    <row r="11" spans="1:4" ht="17.5">
      <c r="A11" s="7" t="s">
        <v>107</v>
      </c>
    </row>
    <row r="13" spans="1:4">
      <c r="A13" t="s">
        <v>108</v>
      </c>
    </row>
    <row r="14" spans="1:4">
      <c r="A14" s="10"/>
    </row>
    <row r="15" spans="1:4">
      <c r="A15" s="10" t="s">
        <v>109</v>
      </c>
    </row>
    <row r="16" spans="1:4">
      <c r="A16" s="10" t="s">
        <v>110</v>
      </c>
    </row>
    <row r="17" spans="1:7">
      <c r="A17" s="10" t="s">
        <v>111</v>
      </c>
    </row>
    <row r="19" spans="1:7" ht="13" customHeight="1">
      <c r="A19" s="7"/>
      <c r="B19" s="24" t="s">
        <v>0</v>
      </c>
      <c r="C19" s="24" t="s">
        <v>1</v>
      </c>
      <c r="D19" s="24" t="s">
        <v>97</v>
      </c>
      <c r="E19" s="24" t="s">
        <v>7</v>
      </c>
      <c r="F19" s="24" t="s">
        <v>6</v>
      </c>
      <c r="G19" s="22" t="s">
        <v>8</v>
      </c>
    </row>
    <row r="20" spans="1:7">
      <c r="A20" s="10"/>
      <c r="B20" s="42">
        <v>4100001</v>
      </c>
      <c r="C20" s="44" t="s">
        <v>98</v>
      </c>
      <c r="D20" s="42">
        <v>90101</v>
      </c>
      <c r="E20" s="46">
        <v>46027</v>
      </c>
      <c r="F20" s="44" t="s">
        <v>15</v>
      </c>
      <c r="G20" s="40">
        <v>450000</v>
      </c>
    </row>
    <row r="21" spans="1:7">
      <c r="A21" s="10"/>
      <c r="B21" s="42">
        <v>4100002</v>
      </c>
      <c r="C21" s="44" t="s">
        <v>16</v>
      </c>
      <c r="D21" s="42">
        <v>90105</v>
      </c>
      <c r="E21" s="46">
        <v>46030</v>
      </c>
      <c r="F21" s="44" t="s">
        <v>21</v>
      </c>
      <c r="G21" s="40">
        <v>380000</v>
      </c>
    </row>
    <row r="22" spans="1:7">
      <c r="A22" s="10"/>
      <c r="B22" s="42">
        <v>4100003</v>
      </c>
      <c r="C22" s="44" t="s">
        <v>22</v>
      </c>
      <c r="D22" s="42">
        <v>90108</v>
      </c>
      <c r="E22" s="46">
        <v>46034</v>
      </c>
      <c r="F22" s="44" t="s">
        <v>25</v>
      </c>
      <c r="G22" s="40">
        <v>500000</v>
      </c>
    </row>
    <row r="23" spans="1:7">
      <c r="A23" s="10"/>
      <c r="B23" s="42">
        <v>4100004</v>
      </c>
      <c r="C23" s="44" t="s">
        <v>26</v>
      </c>
      <c r="D23" s="42">
        <v>90112</v>
      </c>
      <c r="E23" s="46">
        <v>46037</v>
      </c>
      <c r="F23" s="44" t="s">
        <v>99</v>
      </c>
      <c r="G23" s="40">
        <v>350000</v>
      </c>
    </row>
    <row r="24" spans="1:7">
      <c r="A24" s="10"/>
      <c r="B24" s="42">
        <v>4100005</v>
      </c>
      <c r="C24" s="44" t="s">
        <v>30</v>
      </c>
      <c r="D24" s="42">
        <v>90115</v>
      </c>
      <c r="E24" s="46">
        <v>46040</v>
      </c>
      <c r="F24" s="44" t="s">
        <v>15</v>
      </c>
      <c r="G24" s="40">
        <v>420000</v>
      </c>
    </row>
    <row r="25" spans="1:7">
      <c r="B25" s="42">
        <v>4100006</v>
      </c>
      <c r="C25" s="44" t="s">
        <v>31</v>
      </c>
      <c r="D25" s="42">
        <v>90119</v>
      </c>
      <c r="E25" s="46">
        <v>46044</v>
      </c>
      <c r="F25" s="44" t="s">
        <v>21</v>
      </c>
      <c r="G25" s="40">
        <v>320000</v>
      </c>
    </row>
    <row r="26" spans="1:7" ht="17.5">
      <c r="A26" s="7"/>
      <c r="B26" s="42">
        <v>4100003</v>
      </c>
      <c r="C26" s="44" t="s">
        <v>22</v>
      </c>
      <c r="D26" s="42">
        <v>90125</v>
      </c>
      <c r="E26" s="46">
        <v>46047</v>
      </c>
      <c r="F26" s="44" t="s">
        <v>21</v>
      </c>
      <c r="G26" s="40">
        <v>600000</v>
      </c>
    </row>
    <row r="27" spans="1:7">
      <c r="B27" s="42">
        <v>4100007</v>
      </c>
      <c r="C27" s="44" t="s">
        <v>35</v>
      </c>
      <c r="D27" s="42">
        <v>90128</v>
      </c>
      <c r="E27" s="46">
        <v>46050</v>
      </c>
      <c r="F27" s="44" t="s">
        <v>25</v>
      </c>
      <c r="G27" s="40">
        <v>400000</v>
      </c>
    </row>
    <row r="28" spans="1:7">
      <c r="B28" s="42">
        <v>4100008</v>
      </c>
      <c r="C28" s="44" t="s">
        <v>37</v>
      </c>
      <c r="D28" s="42">
        <v>90131</v>
      </c>
      <c r="E28" s="46">
        <v>46055</v>
      </c>
      <c r="F28" s="44" t="s">
        <v>15</v>
      </c>
      <c r="G28" s="40">
        <v>360000</v>
      </c>
    </row>
    <row r="29" spans="1:7">
      <c r="B29" s="42">
        <v>4100009</v>
      </c>
      <c r="C29" s="44" t="s">
        <v>40</v>
      </c>
      <c r="D29" s="42">
        <v>90135</v>
      </c>
      <c r="E29" s="46">
        <v>46058</v>
      </c>
      <c r="F29" s="44" t="s">
        <v>99</v>
      </c>
      <c r="G29" s="40">
        <v>480000</v>
      </c>
    </row>
    <row r="30" spans="1:7">
      <c r="B30" s="42">
        <v>4100005</v>
      </c>
      <c r="C30" s="44" t="s">
        <v>30</v>
      </c>
      <c r="D30" s="42">
        <v>90139</v>
      </c>
      <c r="E30" s="46">
        <v>46062</v>
      </c>
      <c r="F30" s="44" t="s">
        <v>25</v>
      </c>
      <c r="G30" s="40">
        <v>520000</v>
      </c>
    </row>
    <row r="31" spans="1:7">
      <c r="B31" s="42">
        <v>4100010</v>
      </c>
      <c r="C31" s="44" t="s">
        <v>41</v>
      </c>
      <c r="D31" s="42">
        <v>90142</v>
      </c>
      <c r="E31" s="46">
        <v>46065</v>
      </c>
      <c r="F31" s="44" t="s">
        <v>21</v>
      </c>
      <c r="G31" s="40">
        <v>370000</v>
      </c>
    </row>
    <row r="32" spans="1:7">
      <c r="B32" s="42">
        <v>4100011</v>
      </c>
      <c r="C32" s="44" t="s">
        <v>42</v>
      </c>
      <c r="D32" s="42">
        <v>90146</v>
      </c>
      <c r="E32" s="46">
        <v>46069</v>
      </c>
      <c r="F32" s="44" t="s">
        <v>15</v>
      </c>
      <c r="G32" s="40">
        <v>450000</v>
      </c>
    </row>
    <row r="33" spans="2:7">
      <c r="B33" s="42">
        <v>4100006</v>
      </c>
      <c r="C33" s="44" t="s">
        <v>31</v>
      </c>
      <c r="D33" s="42">
        <v>90150</v>
      </c>
      <c r="E33" s="46">
        <v>46073</v>
      </c>
      <c r="F33" s="44" t="s">
        <v>25</v>
      </c>
      <c r="G33" s="40">
        <v>340000</v>
      </c>
    </row>
    <row r="34" spans="2:7">
      <c r="B34" s="42">
        <v>4100012</v>
      </c>
      <c r="C34" s="44" t="s">
        <v>43</v>
      </c>
      <c r="D34" s="42">
        <v>90154</v>
      </c>
      <c r="E34" s="46">
        <v>46077</v>
      </c>
      <c r="F34" s="44" t="s">
        <v>99</v>
      </c>
      <c r="G34" s="40">
        <v>650000</v>
      </c>
    </row>
    <row r="35" spans="2:7">
      <c r="B35" s="42">
        <v>4100008</v>
      </c>
      <c r="C35" s="44" t="s">
        <v>37</v>
      </c>
      <c r="D35" s="42">
        <v>90158</v>
      </c>
      <c r="E35" s="46">
        <v>46081</v>
      </c>
      <c r="F35" s="44" t="s">
        <v>21</v>
      </c>
      <c r="G35" s="40">
        <v>380000</v>
      </c>
    </row>
    <row r="36" spans="2:7">
      <c r="B36" s="42">
        <v>4100013</v>
      </c>
      <c r="C36" s="44" t="s">
        <v>44</v>
      </c>
      <c r="D36" s="42">
        <v>90161</v>
      </c>
      <c r="E36" s="46">
        <v>46084</v>
      </c>
      <c r="F36" s="44" t="s">
        <v>15</v>
      </c>
      <c r="G36" s="40">
        <v>440000</v>
      </c>
    </row>
    <row r="37" spans="2:7">
      <c r="B37" s="42">
        <v>4100014</v>
      </c>
      <c r="C37" s="44" t="s">
        <v>45</v>
      </c>
      <c r="D37" s="42">
        <v>90165</v>
      </c>
      <c r="E37" s="46">
        <v>46088</v>
      </c>
      <c r="F37" s="44" t="s">
        <v>25</v>
      </c>
      <c r="G37" s="40">
        <v>410000</v>
      </c>
    </row>
    <row r="38" spans="2:7">
      <c r="B38" s="42">
        <v>4100001</v>
      </c>
      <c r="C38" s="44" t="s">
        <v>98</v>
      </c>
      <c r="D38" s="42">
        <v>90169</v>
      </c>
      <c r="E38" s="46">
        <v>46092</v>
      </c>
      <c r="F38" s="44" t="s">
        <v>21</v>
      </c>
      <c r="G38" s="40">
        <v>510000</v>
      </c>
    </row>
    <row r="39" spans="2:7">
      <c r="B39" s="42">
        <v>4100015</v>
      </c>
      <c r="C39" s="44" t="s">
        <v>46</v>
      </c>
      <c r="D39" s="42">
        <v>90172</v>
      </c>
      <c r="E39" s="46">
        <v>46096</v>
      </c>
      <c r="F39" s="44" t="s">
        <v>99</v>
      </c>
      <c r="G39" s="40">
        <v>460000</v>
      </c>
    </row>
    <row r="40" spans="2:7">
      <c r="B40" s="42">
        <v>4100016</v>
      </c>
      <c r="C40" s="44" t="s">
        <v>47</v>
      </c>
      <c r="D40" s="42">
        <v>90176</v>
      </c>
      <c r="E40" s="46">
        <v>46100</v>
      </c>
      <c r="F40" s="44" t="s">
        <v>15</v>
      </c>
      <c r="G40" s="40">
        <v>670000</v>
      </c>
    </row>
    <row r="41" spans="2:7">
      <c r="B41" s="42">
        <v>4100017</v>
      </c>
      <c r="C41" s="44" t="s">
        <v>48</v>
      </c>
      <c r="D41" s="42">
        <v>90180</v>
      </c>
      <c r="E41" s="46">
        <v>46104</v>
      </c>
      <c r="F41" s="44" t="s">
        <v>21</v>
      </c>
      <c r="G41" s="40">
        <v>450000</v>
      </c>
    </row>
    <row r="42" spans="2:7">
      <c r="B42" s="42">
        <v>4100012</v>
      </c>
      <c r="C42" s="44" t="s">
        <v>43</v>
      </c>
      <c r="D42" s="42">
        <v>90184</v>
      </c>
      <c r="E42" s="46">
        <v>46108</v>
      </c>
      <c r="F42" s="44" t="s">
        <v>25</v>
      </c>
      <c r="G42" s="40">
        <v>370000</v>
      </c>
    </row>
    <row r="43" spans="2:7">
      <c r="B43" s="42">
        <v>4100018</v>
      </c>
      <c r="C43" s="44" t="s">
        <v>49</v>
      </c>
      <c r="D43" s="42">
        <v>90188</v>
      </c>
      <c r="E43" s="46">
        <v>46112</v>
      </c>
      <c r="F43" s="44" t="s">
        <v>15</v>
      </c>
      <c r="G43" s="40">
        <v>540000</v>
      </c>
    </row>
    <row r="44" spans="2:7">
      <c r="B44" s="42">
        <v>4100019</v>
      </c>
      <c r="C44" s="44" t="s">
        <v>50</v>
      </c>
      <c r="D44" s="42">
        <v>90192</v>
      </c>
      <c r="E44" s="46">
        <v>46116</v>
      </c>
      <c r="F44" s="44" t="s">
        <v>99</v>
      </c>
      <c r="G44" s="40">
        <v>660000</v>
      </c>
    </row>
    <row r="45" spans="2:7">
      <c r="B45" s="42">
        <v>4100010</v>
      </c>
      <c r="C45" s="44" t="s">
        <v>41</v>
      </c>
      <c r="D45" s="42">
        <v>90196</v>
      </c>
      <c r="E45" s="46">
        <v>46120</v>
      </c>
      <c r="F45" s="44" t="s">
        <v>25</v>
      </c>
      <c r="G45" s="40">
        <v>430000</v>
      </c>
    </row>
    <row r="46" spans="2:7">
      <c r="B46" s="42">
        <v>4100020</v>
      </c>
      <c r="C46" s="44" t="s">
        <v>51</v>
      </c>
      <c r="D46" s="42">
        <v>90200</v>
      </c>
      <c r="E46" s="46">
        <v>46124</v>
      </c>
      <c r="F46" s="44" t="s">
        <v>21</v>
      </c>
      <c r="G46" s="40">
        <v>764900</v>
      </c>
    </row>
    <row r="47" spans="2:7">
      <c r="B47" s="42">
        <v>4100015</v>
      </c>
      <c r="C47" s="44" t="s">
        <v>46</v>
      </c>
      <c r="D47" s="42">
        <v>90204</v>
      </c>
      <c r="E47" s="46">
        <v>46128</v>
      </c>
      <c r="F47" s="44" t="s">
        <v>15</v>
      </c>
      <c r="G47" s="40">
        <v>540000</v>
      </c>
    </row>
    <row r="48" spans="2:7">
      <c r="B48" s="43">
        <v>4100021</v>
      </c>
      <c r="C48" s="45" t="s">
        <v>100</v>
      </c>
      <c r="D48" s="43">
        <v>90208</v>
      </c>
      <c r="E48" s="47">
        <v>46132</v>
      </c>
      <c r="F48" s="45" t="s">
        <v>25</v>
      </c>
      <c r="G48" s="41">
        <v>340000</v>
      </c>
    </row>
    <row r="50" spans="1:5" ht="31">
      <c r="A50" s="6" t="s">
        <v>112</v>
      </c>
    </row>
    <row r="52" spans="1:5" ht="17.5">
      <c r="A52" s="7" t="s">
        <v>113</v>
      </c>
    </row>
    <row r="54" spans="1:5">
      <c r="A54" t="s">
        <v>114</v>
      </c>
      <c r="E54" s="8">
        <f>SUMIFS('Raw Data1'!I2:I21,'Raw Data1'!C2:C21,'Raw Data1'!$C$2)</f>
        <v>4290000</v>
      </c>
    </row>
    <row r="56" spans="1:5" ht="17.5">
      <c r="A56" s="7" t="s">
        <v>115</v>
      </c>
    </row>
    <row r="58" spans="1:5">
      <c r="A58" t="s">
        <v>158</v>
      </c>
    </row>
    <row r="59" spans="1:5">
      <c r="B59" s="9" t="s">
        <v>159</v>
      </c>
      <c r="C59" s="8">
        <f>SUMIFS('Raw Data1'!$I$2:$I$21,'Raw Data1'!D2:D21,'Raw Data1'!$D$2,'Raw Data1'!G2:G21,'Raw Data1'!$G$2)</f>
        <v>2030000</v>
      </c>
    </row>
    <row r="60" spans="1:5" ht="17.5">
      <c r="A60" s="7" t="s">
        <v>117</v>
      </c>
    </row>
    <row r="62" spans="1:5">
      <c r="A62" t="s">
        <v>116</v>
      </c>
    </row>
    <row r="64" spans="1:5">
      <c r="A64" s="9" t="s">
        <v>118</v>
      </c>
      <c r="C64" s="8">
        <f>SUMIFS('Raw Data1'!I2:I21,'Raw Data1'!F2:F21,'Raw Data1'!$F$3,'Raw Data1'!G2:G21,'Raw Data1'!$G$2)</f>
        <v>400000</v>
      </c>
    </row>
    <row r="66" spans="1:6" ht="31">
      <c r="A66" s="6" t="s">
        <v>119</v>
      </c>
    </row>
    <row r="68" spans="1:6" ht="17.5">
      <c r="A68" s="7" t="s">
        <v>120</v>
      </c>
    </row>
    <row r="70" spans="1:6">
      <c r="A70" s="143" t="s">
        <v>121</v>
      </c>
      <c r="B70" s="143"/>
      <c r="C70" s="143"/>
      <c r="D70" s="143"/>
      <c r="E70" s="18">
        <f>AVERAGEIF('Raw Data1'!C2:C21,'Raw Data1'!$C$2,'Raw Data1'!I2:I21)</f>
        <v>429000</v>
      </c>
    </row>
    <row r="72" spans="1:6" ht="17.5">
      <c r="A72" s="7" t="s">
        <v>122</v>
      </c>
    </row>
    <row r="74" spans="1:6">
      <c r="A74" s="19" t="s">
        <v>123</v>
      </c>
      <c r="B74" s="19"/>
      <c r="C74" s="19"/>
      <c r="D74" s="19"/>
      <c r="E74" s="19"/>
      <c r="F74" s="8">
        <f>AVERAGEIFS('Raw Data1'!I2:I21,'Raw Data1'!G2:G21,'Raw Data1'!$G$3,'Raw Data1'!D2:D21,'Raw Data1'!$D$2)</f>
        <v>488000</v>
      </c>
    </row>
    <row r="76" spans="1:6" ht="31">
      <c r="A76" s="6" t="s">
        <v>124</v>
      </c>
    </row>
    <row r="78" spans="1:6">
      <c r="A78" t="s">
        <v>125</v>
      </c>
    </row>
    <row r="80" spans="1:6">
      <c r="A80" s="9" t="s">
        <v>126</v>
      </c>
    </row>
    <row r="82" spans="1:6" ht="17.5">
      <c r="A82" s="7" t="s">
        <v>127</v>
      </c>
    </row>
    <row r="83" spans="1:6">
      <c r="E83" s="32" t="s">
        <v>133</v>
      </c>
      <c r="F83" s="32" t="s">
        <v>134</v>
      </c>
    </row>
    <row r="84" spans="1:6">
      <c r="A84" s="143" t="s">
        <v>128</v>
      </c>
      <c r="B84" s="143"/>
      <c r="C84" s="143"/>
      <c r="E84" s="18" cm="1">
        <f t="array" ref="E84:E103">MONTH('Raw Data1'!H2:H21)</f>
        <v>1</v>
      </c>
      <c r="F84" s="18" cm="1">
        <f t="array" ref="F84:F103">YEAR('Raw Data1'!H2:H21)</f>
        <v>2026</v>
      </c>
    </row>
    <row r="85" spans="1:6">
      <c r="E85" s="18">
        <v>1</v>
      </c>
      <c r="F85" s="18">
        <v>2026</v>
      </c>
    </row>
    <row r="86" spans="1:6">
      <c r="A86" t="s">
        <v>129</v>
      </c>
      <c r="E86" s="18">
        <v>1</v>
      </c>
      <c r="F86" s="18">
        <v>2026</v>
      </c>
    </row>
    <row r="87" spans="1:6">
      <c r="E87" s="18">
        <v>1</v>
      </c>
      <c r="F87" s="18">
        <v>2026</v>
      </c>
    </row>
    <row r="88" spans="1:6">
      <c r="A88" s="9" t="s">
        <v>130</v>
      </c>
      <c r="E88" s="18">
        <v>1</v>
      </c>
      <c r="F88" s="18">
        <v>2026</v>
      </c>
    </row>
    <row r="89" spans="1:6">
      <c r="E89" s="18">
        <v>2</v>
      </c>
      <c r="F89" s="18">
        <v>2026</v>
      </c>
    </row>
    <row r="90" spans="1:6" ht="17.5">
      <c r="A90" s="7" t="s">
        <v>131</v>
      </c>
      <c r="E90" s="18">
        <v>2</v>
      </c>
      <c r="F90" s="18">
        <v>2026</v>
      </c>
    </row>
    <row r="91" spans="1:6">
      <c r="E91" s="18">
        <v>2</v>
      </c>
      <c r="F91" s="18">
        <v>2026</v>
      </c>
    </row>
    <row r="92" spans="1:6">
      <c r="A92" s="143" t="s">
        <v>132</v>
      </c>
      <c r="B92" s="143"/>
      <c r="C92" s="143"/>
      <c r="E92" s="18">
        <v>2</v>
      </c>
      <c r="F92" s="18">
        <v>2026</v>
      </c>
    </row>
    <row r="93" spans="1:6">
      <c r="E93" s="18">
        <v>2</v>
      </c>
      <c r="F93" s="18">
        <v>2026</v>
      </c>
    </row>
    <row r="94" spans="1:6">
      <c r="E94" s="18">
        <v>3</v>
      </c>
      <c r="F94" s="18">
        <v>2026</v>
      </c>
    </row>
    <row r="95" spans="1:6">
      <c r="E95" s="18">
        <v>3</v>
      </c>
      <c r="F95" s="18">
        <v>2026</v>
      </c>
    </row>
    <row r="96" spans="1:6">
      <c r="E96" s="18">
        <v>3</v>
      </c>
      <c r="F96" s="18">
        <v>2026</v>
      </c>
    </row>
    <row r="97" spans="1:7">
      <c r="E97" s="18">
        <v>3</v>
      </c>
      <c r="F97" s="18">
        <v>2026</v>
      </c>
    </row>
    <row r="98" spans="1:7">
      <c r="E98" s="18">
        <v>3</v>
      </c>
      <c r="F98" s="18">
        <v>2026</v>
      </c>
    </row>
    <row r="99" spans="1:7">
      <c r="E99" s="18">
        <v>4</v>
      </c>
      <c r="F99" s="18">
        <v>2026</v>
      </c>
    </row>
    <row r="100" spans="1:7">
      <c r="E100" s="18">
        <v>4</v>
      </c>
      <c r="F100" s="18">
        <v>2026</v>
      </c>
    </row>
    <row r="101" spans="1:7">
      <c r="E101" s="18">
        <v>4</v>
      </c>
      <c r="F101" s="18">
        <v>2026</v>
      </c>
    </row>
    <row r="102" spans="1:7">
      <c r="E102" s="18">
        <v>4</v>
      </c>
      <c r="F102" s="18">
        <v>2026</v>
      </c>
    </row>
    <row r="103" spans="1:7">
      <c r="E103" s="18">
        <v>4</v>
      </c>
      <c r="F103" s="18">
        <v>2026</v>
      </c>
    </row>
    <row r="104" spans="1:7" ht="31">
      <c r="A104" s="6" t="s">
        <v>135</v>
      </c>
    </row>
    <row r="106" spans="1:7">
      <c r="A106" s="19" t="s">
        <v>136</v>
      </c>
      <c r="B106" s="19"/>
    </row>
    <row r="108" spans="1:7" ht="17.5">
      <c r="A108" s="7" t="s">
        <v>137</v>
      </c>
      <c r="E108" s="77" t="s">
        <v>143</v>
      </c>
      <c r="F108" s="79" t="s">
        <v>141</v>
      </c>
      <c r="G108" s="78" t="s">
        <v>140</v>
      </c>
    </row>
    <row r="109" spans="1:7">
      <c r="E109" s="80" t="s">
        <v>11</v>
      </c>
      <c r="F109" s="80">
        <v>429000</v>
      </c>
      <c r="G109" s="81">
        <v>10</v>
      </c>
    </row>
    <row r="110" spans="1:7">
      <c r="A110" s="9" t="s">
        <v>138</v>
      </c>
      <c r="E110" s="80" t="s">
        <v>13</v>
      </c>
      <c r="F110" s="80">
        <v>443333.33333333331</v>
      </c>
      <c r="G110" s="81">
        <v>3</v>
      </c>
    </row>
    <row r="111" spans="1:7">
      <c r="A111" s="10"/>
      <c r="E111" s="80" t="s">
        <v>19</v>
      </c>
      <c r="F111" s="80">
        <v>370000</v>
      </c>
      <c r="G111" s="81">
        <v>1</v>
      </c>
    </row>
    <row r="112" spans="1:7">
      <c r="A112" s="10" t="s">
        <v>2</v>
      </c>
      <c r="E112" s="80" t="s">
        <v>29</v>
      </c>
      <c r="F112" s="80">
        <v>370000</v>
      </c>
      <c r="G112" s="81">
        <v>2</v>
      </c>
    </row>
    <row r="113" spans="1:7">
      <c r="A113" s="10" t="s">
        <v>4</v>
      </c>
      <c r="E113" s="80" t="s">
        <v>36</v>
      </c>
      <c r="F113" s="80">
        <v>600000</v>
      </c>
      <c r="G113" s="81">
        <v>1</v>
      </c>
    </row>
    <row r="114" spans="1:7">
      <c r="E114" s="80" t="s">
        <v>33</v>
      </c>
      <c r="F114" s="80">
        <v>340000</v>
      </c>
      <c r="G114" s="81">
        <v>1</v>
      </c>
    </row>
    <row r="115" spans="1:7">
      <c r="A115" s="9" t="s">
        <v>139</v>
      </c>
      <c r="E115" s="80" t="s">
        <v>23</v>
      </c>
      <c r="F115" s="80">
        <v>500000</v>
      </c>
      <c r="G115" s="81">
        <v>1</v>
      </c>
    </row>
    <row r="116" spans="1:7">
      <c r="A116" s="10"/>
      <c r="E116" s="80" t="s">
        <v>39</v>
      </c>
      <c r="F116" s="80">
        <v>410000</v>
      </c>
      <c r="G116" s="81">
        <v>1</v>
      </c>
    </row>
    <row r="117" spans="1:7">
      <c r="A117" s="10" t="s">
        <v>140</v>
      </c>
      <c r="E117" s="80" t="s">
        <v>17</v>
      </c>
      <c r="F117" s="80">
        <v>415000</v>
      </c>
      <c r="G117" s="81">
        <v>4</v>
      </c>
    </row>
    <row r="118" spans="1:7">
      <c r="A118" s="10" t="s">
        <v>141</v>
      </c>
      <c r="E118" s="80" t="s">
        <v>13</v>
      </c>
      <c r="F118" s="80">
        <v>440000</v>
      </c>
      <c r="G118" s="81">
        <v>1</v>
      </c>
    </row>
    <row r="119" spans="1:7">
      <c r="E119" s="80" t="s">
        <v>19</v>
      </c>
      <c r="F119" s="80">
        <v>380000</v>
      </c>
      <c r="G119" s="81">
        <v>1</v>
      </c>
    </row>
    <row r="120" spans="1:7">
      <c r="A120" t="s">
        <v>142</v>
      </c>
      <c r="E120" s="80" t="s">
        <v>33</v>
      </c>
      <c r="F120" s="80">
        <v>320000</v>
      </c>
      <c r="G120" s="81">
        <v>1</v>
      </c>
    </row>
    <row r="121" spans="1:7">
      <c r="A121" s="10"/>
      <c r="E121" s="80" t="s">
        <v>23</v>
      </c>
      <c r="F121" s="80">
        <v>520000</v>
      </c>
      <c r="G121" s="81">
        <v>1</v>
      </c>
    </row>
    <row r="122" spans="1:7">
      <c r="A122" s="10"/>
      <c r="E122" s="80" t="s">
        <v>27</v>
      </c>
      <c r="F122" s="80">
        <v>493333.33333333331</v>
      </c>
      <c r="G122" s="81">
        <v>3</v>
      </c>
    </row>
    <row r="123" spans="1:7">
      <c r="E123" s="80" t="s">
        <v>13</v>
      </c>
      <c r="F123" s="80">
        <v>480000</v>
      </c>
      <c r="G123" s="81">
        <v>1</v>
      </c>
    </row>
    <row r="124" spans="1:7">
      <c r="E124" s="80" t="s">
        <v>29</v>
      </c>
      <c r="F124" s="80">
        <v>350000</v>
      </c>
      <c r="G124" s="81">
        <v>1</v>
      </c>
    </row>
    <row r="125" spans="1:7">
      <c r="A125" s="10"/>
      <c r="E125" s="80" t="s">
        <v>36</v>
      </c>
      <c r="F125" s="80">
        <v>650000</v>
      </c>
      <c r="G125" s="81">
        <v>1</v>
      </c>
    </row>
    <row r="126" spans="1:7">
      <c r="A126" s="10"/>
      <c r="E126" s="80" t="s">
        <v>38</v>
      </c>
      <c r="F126" s="80">
        <v>453333.33333333331</v>
      </c>
      <c r="G126" s="81">
        <v>3</v>
      </c>
    </row>
    <row r="127" spans="1:7">
      <c r="E127" s="80" t="s">
        <v>13</v>
      </c>
      <c r="F127" s="80">
        <v>450000</v>
      </c>
      <c r="G127" s="81">
        <v>1</v>
      </c>
    </row>
    <row r="128" spans="1:7">
      <c r="E128" s="80" t="s">
        <v>23</v>
      </c>
      <c r="F128" s="80">
        <v>510000</v>
      </c>
      <c r="G128" s="81">
        <v>1</v>
      </c>
    </row>
    <row r="129" spans="1:7">
      <c r="E129" s="80" t="s">
        <v>39</v>
      </c>
      <c r="F129" s="80">
        <v>400000</v>
      </c>
      <c r="G129" s="81">
        <v>1</v>
      </c>
    </row>
    <row r="130" spans="1:7">
      <c r="E130" s="82" t="s">
        <v>144</v>
      </c>
      <c r="F130" s="82">
        <v>439500</v>
      </c>
      <c r="G130" s="83">
        <v>20</v>
      </c>
    </row>
    <row r="132" spans="1:7" ht="31">
      <c r="A132" s="6" t="s">
        <v>145</v>
      </c>
    </row>
    <row r="134" spans="1:7">
      <c r="A134" t="s">
        <v>146</v>
      </c>
    </row>
    <row r="136" spans="1:7">
      <c r="A136" s="15" t="s">
        <v>147</v>
      </c>
      <c r="B136" s="15" t="s">
        <v>148</v>
      </c>
    </row>
    <row r="137" spans="1:7" ht="15.5" customHeight="1">
      <c r="A137" s="16" t="s">
        <v>149</v>
      </c>
      <c r="B137" s="17">
        <f>COUNTA('Raw Data1'!A2:A477)</f>
        <v>476</v>
      </c>
    </row>
    <row r="138" spans="1:7">
      <c r="A138" s="16" t="s">
        <v>15</v>
      </c>
      <c r="B138" s="17">
        <f>COUNTIF('Raw Data1'!$G$2:$G$477,'Raw Data1'!$G$2)</f>
        <v>111</v>
      </c>
    </row>
    <row r="139" spans="1:7">
      <c r="A139" s="16" t="s">
        <v>21</v>
      </c>
      <c r="B139" s="17">
        <f>COUNTIF('Raw Data1'!$G$2:$G$477,'Raw Data1'!$G$3)</f>
        <v>163</v>
      </c>
    </row>
    <row r="140" spans="1:7">
      <c r="A140" s="16" t="s">
        <v>25</v>
      </c>
      <c r="B140" s="17">
        <f>COUNTIF('Raw Data1'!$G$2:$G$477,'Raw Data1'!$G$4)</f>
        <v>118</v>
      </c>
    </row>
    <row r="141" spans="1:7" ht="27.5" customHeight="1">
      <c r="A141" s="16" t="s">
        <v>150</v>
      </c>
      <c r="B141" s="17">
        <f>COUNTIF('Raw Data1'!C2:C477,'Raw Data1'!$C$2)</f>
        <v>68</v>
      </c>
    </row>
    <row r="142" spans="1:7" ht="38" customHeight="1">
      <c r="A142" s="16" t="s">
        <v>151</v>
      </c>
      <c r="B142" s="17">
        <f>COUNTIF('Raw Data1'!F2:F477,'Raw Data1'!$F$3)</f>
        <v>117</v>
      </c>
    </row>
    <row r="143" spans="1:7" ht="29">
      <c r="A143" s="16" t="s">
        <v>152</v>
      </c>
      <c r="B143" s="17">
        <f>AVERAGE('Raw Data1'!I2:I477)</f>
        <v>513497.89915966388</v>
      </c>
    </row>
    <row r="144" spans="1:7" ht="29">
      <c r="A144" s="16" t="s">
        <v>153</v>
      </c>
      <c r="B144" s="18">
        <f>COUNTIF('Exercise 1-5'!G76:G104,"Duplicate")</f>
        <v>16</v>
      </c>
    </row>
    <row r="146" spans="1:4">
      <c r="A146" t="s">
        <v>154</v>
      </c>
    </row>
    <row r="147" spans="1:4">
      <c r="A147" s="10"/>
    </row>
    <row r="148" spans="1:4">
      <c r="A148" s="10" t="s">
        <v>155</v>
      </c>
    </row>
    <row r="150" spans="1:4" ht="17.5">
      <c r="A150" s="7" t="s">
        <v>156</v>
      </c>
    </row>
    <row r="152" spans="1:4">
      <c r="A152" s="19" t="s">
        <v>157</v>
      </c>
      <c r="B152" s="19"/>
      <c r="C152" s="19"/>
      <c r="D152" s="18">
        <f>COUNTIFS('Raw Data1'!$C$2:$C$477,'Raw Data1'!$C$2,'Raw Data1'!$D$2:$D$477,'Raw Data1'!$D$2,'Raw Data1'!$F$2:$F$477,'Raw Data1'!$F$3,'Raw Data1'!$G$2:$G$477,'Raw Data1'!$G$3,'Raw Data1'!J2:J477,'Raw Data1'!J2&gt;1)</f>
        <v>0</v>
      </c>
    </row>
  </sheetData>
  <mergeCells count="3">
    <mergeCell ref="A92:C92"/>
    <mergeCell ref="A84:C84"/>
    <mergeCell ref="A70:D70"/>
  </mergeCells>
  <conditionalFormatting sqref="B20:B48">
    <cfRule type="duplicateValues" dxfId="8" priority="5"/>
  </conditionalFormatting>
  <conditionalFormatting sqref="F20:F48">
    <cfRule type="containsText" dxfId="7" priority="4" operator="containsText" text="Selected">
      <formula>NOT(ISERROR(SEARCH("Selected",F20)))</formula>
    </cfRule>
  </conditionalFormatting>
  <conditionalFormatting sqref="G20:G48">
    <cfRule type="cellIs" dxfId="6" priority="1" operator="greaterThan">
      <formula>599999</formula>
    </cfRule>
    <cfRule type="cellIs" priority="2" operator="greaterThanOrEqual">
      <formula>600000</formula>
    </cfRule>
    <cfRule type="cellIs" dxfId="5" priority="3" operator="greaterThan">
      <formula>650000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73D98C43-B24A-4709-AF78-608606DBFEC1}">
          <x14:formula1>
            <xm:f>'Raw Data1'!$F$1:$F$21</xm:f>
          </x14:formula1>
          <xm:sqref>D7</xm:sqref>
        </x14:dataValidation>
        <x14:dataValidation type="list" allowBlank="1" showInputMessage="1" showErrorMessage="1" xr:uid="{5A156E00-62C7-4B79-AA67-89AC2DC526C2}">
          <x14:formula1>
            <xm:f>'Raw Data1'!$D$1:$D$21</xm:f>
          </x14:formula1>
          <xm:sqref>C7</xm:sqref>
        </x14:dataValidation>
        <x14:dataValidation type="list" allowBlank="1" showInputMessage="1" showErrorMessage="1" xr:uid="{8CBAD173-B1E3-4608-BB98-14BD11C0875D}">
          <x14:formula1>
            <xm:f>'Raw Data1'!$G$1:$G$21</xm:f>
          </x14:formula1>
          <xm:sqref>B7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70888-DDD6-418D-B4D6-994FBDCF8099}">
  <dimension ref="A1:J26"/>
  <sheetViews>
    <sheetView workbookViewId="0">
      <selection activeCell="K19" sqref="K19"/>
    </sheetView>
  </sheetViews>
  <sheetFormatPr defaultColWidth="21.6328125" defaultRowHeight="14.5"/>
  <cols>
    <col min="1" max="1" width="11.26953125" bestFit="1" customWidth="1"/>
    <col min="2" max="2" width="14.453125" bestFit="1" customWidth="1"/>
    <col min="3" max="3" width="10" bestFit="1" customWidth="1"/>
    <col min="4" max="4" width="11.08984375" bestFit="1" customWidth="1"/>
    <col min="5" max="5" width="7.81640625" bestFit="1" customWidth="1"/>
    <col min="6" max="6" width="7.90625" bestFit="1" customWidth="1"/>
    <col min="7" max="7" width="11" bestFit="1" customWidth="1"/>
    <col min="8" max="8" width="6.81640625" bestFit="1" customWidth="1"/>
    <col min="9" max="9" width="9.90625" bestFit="1" customWidth="1"/>
    <col min="10" max="10" width="11.6328125" bestFit="1" customWidth="1"/>
  </cols>
  <sheetData>
    <row r="1" spans="1:10">
      <c r="A1" s="38" t="s">
        <v>160</v>
      </c>
      <c r="B1" s="39" t="s">
        <v>161</v>
      </c>
      <c r="C1" s="39" t="s">
        <v>2</v>
      </c>
      <c r="D1" s="39" t="s">
        <v>3</v>
      </c>
      <c r="E1" s="39" t="s">
        <v>5</v>
      </c>
      <c r="F1" s="39" t="s">
        <v>6</v>
      </c>
      <c r="G1" s="39" t="s">
        <v>162</v>
      </c>
      <c r="H1" s="38" t="s">
        <v>163</v>
      </c>
      <c r="I1" s="38" t="s">
        <v>9</v>
      </c>
      <c r="J1" s="39" t="s">
        <v>164</v>
      </c>
    </row>
    <row r="2" spans="1:10">
      <c r="A2" s="35">
        <v>5001</v>
      </c>
      <c r="B2" s="36" t="s">
        <v>165</v>
      </c>
      <c r="C2" s="36" t="s">
        <v>11</v>
      </c>
      <c r="D2" s="36" t="s">
        <v>12</v>
      </c>
      <c r="E2" s="36" t="s">
        <v>14</v>
      </c>
      <c r="F2" s="36" t="s">
        <v>166</v>
      </c>
      <c r="G2" s="37">
        <v>46027</v>
      </c>
      <c r="H2" s="35">
        <v>420000</v>
      </c>
      <c r="I2" s="35">
        <v>1</v>
      </c>
      <c r="J2" s="36">
        <v>82</v>
      </c>
    </row>
    <row r="3" spans="1:10">
      <c r="A3" s="35">
        <v>5002</v>
      </c>
      <c r="B3" s="36" t="s">
        <v>22</v>
      </c>
      <c r="C3" s="36" t="s">
        <v>17</v>
      </c>
      <c r="D3" s="36" t="s">
        <v>28</v>
      </c>
      <c r="E3" s="36" t="s">
        <v>167</v>
      </c>
      <c r="F3" s="36" t="s">
        <v>166</v>
      </c>
      <c r="G3" s="37">
        <v>46034</v>
      </c>
      <c r="H3" s="35">
        <v>380000</v>
      </c>
      <c r="I3" s="35">
        <v>2</v>
      </c>
      <c r="J3" s="36">
        <v>76</v>
      </c>
    </row>
    <row r="4" spans="1:10">
      <c r="A4" s="35">
        <v>5003</v>
      </c>
      <c r="B4" s="36" t="s">
        <v>16</v>
      </c>
      <c r="C4" s="36" t="s">
        <v>11</v>
      </c>
      <c r="D4" s="36" t="s">
        <v>18</v>
      </c>
      <c r="E4" s="36" t="s">
        <v>24</v>
      </c>
      <c r="F4" s="36" t="s">
        <v>168</v>
      </c>
      <c r="G4" s="37">
        <v>46040</v>
      </c>
      <c r="H4" s="35">
        <v>350000</v>
      </c>
      <c r="I4" s="35">
        <v>1</v>
      </c>
      <c r="J4" s="36">
        <v>88</v>
      </c>
    </row>
    <row r="5" spans="1:10">
      <c r="A5" s="35">
        <v>5004</v>
      </c>
      <c r="B5" s="36" t="s">
        <v>169</v>
      </c>
      <c r="C5" s="36" t="s">
        <v>27</v>
      </c>
      <c r="D5" s="36" t="s">
        <v>12</v>
      </c>
      <c r="E5" s="36" t="s">
        <v>14</v>
      </c>
      <c r="F5" s="36" t="s">
        <v>166</v>
      </c>
      <c r="G5" s="37">
        <v>46044</v>
      </c>
      <c r="H5" s="35">
        <v>550000</v>
      </c>
      <c r="I5" s="35">
        <v>3</v>
      </c>
      <c r="J5" s="36">
        <v>91</v>
      </c>
    </row>
    <row r="6" spans="1:10">
      <c r="A6" s="35">
        <v>5005</v>
      </c>
      <c r="B6" s="36" t="s">
        <v>31</v>
      </c>
      <c r="C6" s="36" t="s">
        <v>11</v>
      </c>
      <c r="D6" s="36" t="s">
        <v>28</v>
      </c>
      <c r="E6" s="36" t="s">
        <v>167</v>
      </c>
      <c r="F6" s="36" t="s">
        <v>25</v>
      </c>
      <c r="G6" s="37">
        <v>46051</v>
      </c>
      <c r="H6" s="35">
        <v>400000</v>
      </c>
      <c r="I6" s="35">
        <v>2</v>
      </c>
      <c r="J6" s="36">
        <v>69</v>
      </c>
    </row>
    <row r="7" spans="1:10">
      <c r="A7" s="35">
        <v>5006</v>
      </c>
      <c r="B7" s="36" t="s">
        <v>98</v>
      </c>
      <c r="C7" s="36" t="s">
        <v>38</v>
      </c>
      <c r="D7" s="36" t="s">
        <v>12</v>
      </c>
      <c r="E7" s="36" t="s">
        <v>24</v>
      </c>
      <c r="F7" s="36" t="s">
        <v>166</v>
      </c>
      <c r="G7" s="37">
        <v>46056</v>
      </c>
      <c r="H7" s="35">
        <v>600000</v>
      </c>
      <c r="I7" s="35">
        <v>4</v>
      </c>
      <c r="J7" s="36">
        <v>95</v>
      </c>
    </row>
    <row r="8" spans="1:10">
      <c r="A8" s="35">
        <v>5007</v>
      </c>
      <c r="B8" s="36" t="s">
        <v>26</v>
      </c>
      <c r="C8" s="36" t="s">
        <v>11</v>
      </c>
      <c r="D8" s="36" t="s">
        <v>32</v>
      </c>
      <c r="E8" s="36" t="s">
        <v>170</v>
      </c>
      <c r="F8" s="36" t="s">
        <v>168</v>
      </c>
      <c r="G8" s="37">
        <v>46063</v>
      </c>
      <c r="H8" s="35">
        <v>320000</v>
      </c>
      <c r="I8" s="35">
        <v>1</v>
      </c>
      <c r="J8" s="36">
        <v>73</v>
      </c>
    </row>
    <row r="9" spans="1:10">
      <c r="A9" s="35">
        <v>5008</v>
      </c>
      <c r="B9" s="36" t="s">
        <v>44</v>
      </c>
      <c r="C9" s="36" t="s">
        <v>17</v>
      </c>
      <c r="D9" s="36" t="s">
        <v>12</v>
      </c>
      <c r="E9" s="36" t="s">
        <v>14</v>
      </c>
      <c r="F9" s="36" t="s">
        <v>166</v>
      </c>
      <c r="G9" s="37">
        <v>46070</v>
      </c>
      <c r="H9" s="35">
        <v>480000</v>
      </c>
      <c r="I9" s="35">
        <v>2</v>
      </c>
      <c r="J9" s="36">
        <v>84</v>
      </c>
    </row>
    <row r="10" spans="1:10">
      <c r="A10" s="35">
        <v>5009</v>
      </c>
      <c r="B10" s="36" t="s">
        <v>43</v>
      </c>
      <c r="C10" s="36" t="s">
        <v>11</v>
      </c>
      <c r="D10" s="36" t="s">
        <v>18</v>
      </c>
      <c r="E10" s="36" t="s">
        <v>167</v>
      </c>
      <c r="F10" s="36" t="s">
        <v>166</v>
      </c>
      <c r="G10" s="37">
        <v>46077</v>
      </c>
      <c r="H10" s="35">
        <v>390000</v>
      </c>
      <c r="I10" s="35">
        <v>2</v>
      </c>
      <c r="J10" s="36">
        <v>79</v>
      </c>
    </row>
    <row r="11" spans="1:10">
      <c r="A11" s="35">
        <v>5010</v>
      </c>
      <c r="B11" s="36" t="s">
        <v>42</v>
      </c>
      <c r="C11" s="36" t="s">
        <v>27</v>
      </c>
      <c r="D11" s="36" t="s">
        <v>28</v>
      </c>
      <c r="E11" s="36" t="s">
        <v>24</v>
      </c>
      <c r="F11" s="36" t="s">
        <v>25</v>
      </c>
      <c r="G11" s="37">
        <v>46084</v>
      </c>
      <c r="H11" s="35">
        <v>450000</v>
      </c>
      <c r="I11" s="35">
        <v>3</v>
      </c>
      <c r="J11" s="36">
        <v>71</v>
      </c>
    </row>
    <row r="12" spans="1:10">
      <c r="A12" s="35">
        <v>5011</v>
      </c>
      <c r="B12" s="36" t="s">
        <v>37</v>
      </c>
      <c r="C12" s="36" t="s">
        <v>11</v>
      </c>
      <c r="D12" s="36" t="s">
        <v>12</v>
      </c>
      <c r="E12" s="36" t="s">
        <v>14</v>
      </c>
      <c r="F12" s="36" t="s">
        <v>166</v>
      </c>
      <c r="G12" s="37">
        <v>46092</v>
      </c>
      <c r="H12" s="35">
        <v>520000</v>
      </c>
      <c r="I12" s="35">
        <v>1</v>
      </c>
      <c r="J12" s="36">
        <v>89</v>
      </c>
    </row>
    <row r="13" spans="1:10">
      <c r="A13" s="35">
        <v>5012</v>
      </c>
      <c r="B13" s="36" t="s">
        <v>35</v>
      </c>
      <c r="C13" s="36" t="s">
        <v>38</v>
      </c>
      <c r="D13" s="36" t="s">
        <v>32</v>
      </c>
      <c r="E13" s="36" t="s">
        <v>167</v>
      </c>
      <c r="F13" s="36" t="s">
        <v>168</v>
      </c>
      <c r="G13" s="37">
        <v>46099</v>
      </c>
      <c r="H13" s="35">
        <v>340000</v>
      </c>
      <c r="I13" s="35">
        <v>2</v>
      </c>
      <c r="J13" s="36">
        <v>67</v>
      </c>
    </row>
    <row r="14" spans="1:10">
      <c r="A14" s="35">
        <v>5013</v>
      </c>
      <c r="B14" s="36" t="s">
        <v>45</v>
      </c>
      <c r="C14" s="36" t="s">
        <v>11</v>
      </c>
      <c r="D14" s="36" t="s">
        <v>28</v>
      </c>
      <c r="E14" s="36" t="s">
        <v>170</v>
      </c>
      <c r="F14" s="36" t="s">
        <v>166</v>
      </c>
      <c r="G14" s="37">
        <v>46106</v>
      </c>
      <c r="H14" s="35">
        <v>410000</v>
      </c>
      <c r="I14" s="35">
        <v>3</v>
      </c>
      <c r="J14" s="36">
        <v>86</v>
      </c>
    </row>
    <row r="15" spans="1:10">
      <c r="A15" s="35">
        <v>5014</v>
      </c>
      <c r="B15" s="36" t="s">
        <v>46</v>
      </c>
      <c r="C15" s="36" t="s">
        <v>17</v>
      </c>
      <c r="D15" s="36" t="s">
        <v>12</v>
      </c>
      <c r="E15" s="36" t="s">
        <v>24</v>
      </c>
      <c r="F15" s="36" t="s">
        <v>166</v>
      </c>
      <c r="G15" s="37">
        <v>46114</v>
      </c>
      <c r="H15" s="35">
        <v>580000</v>
      </c>
      <c r="I15" s="35">
        <v>2</v>
      </c>
      <c r="J15" s="36">
        <v>92</v>
      </c>
    </row>
    <row r="16" spans="1:10">
      <c r="A16" s="35">
        <v>5005</v>
      </c>
      <c r="B16" s="36" t="s">
        <v>31</v>
      </c>
      <c r="C16" s="36" t="s">
        <v>11</v>
      </c>
      <c r="D16" s="36" t="s">
        <v>28</v>
      </c>
      <c r="E16" s="36" t="s">
        <v>167</v>
      </c>
      <c r="F16" s="36" t="s">
        <v>25</v>
      </c>
      <c r="G16" s="37">
        <v>46121</v>
      </c>
      <c r="H16" s="35">
        <v>400000</v>
      </c>
      <c r="I16" s="35">
        <v>2</v>
      </c>
      <c r="J16" s="36">
        <v>69</v>
      </c>
    </row>
    <row r="17" spans="1:10">
      <c r="A17" s="35">
        <v>5015</v>
      </c>
      <c r="B17" s="36" t="s">
        <v>47</v>
      </c>
      <c r="C17" s="36" t="s">
        <v>11</v>
      </c>
      <c r="D17" s="36" t="s">
        <v>18</v>
      </c>
      <c r="E17" s="36" t="s">
        <v>14</v>
      </c>
      <c r="F17" s="36" t="s">
        <v>168</v>
      </c>
      <c r="G17" s="37">
        <v>46128</v>
      </c>
      <c r="H17" s="35">
        <v>370000</v>
      </c>
      <c r="I17" s="35">
        <v>1</v>
      </c>
      <c r="J17" s="36">
        <v>81</v>
      </c>
    </row>
    <row r="18" spans="1:10">
      <c r="A18" s="35">
        <v>5016</v>
      </c>
      <c r="B18" s="36" t="s">
        <v>48</v>
      </c>
      <c r="C18" s="36" t="s">
        <v>27</v>
      </c>
      <c r="D18" s="36" t="s">
        <v>12</v>
      </c>
      <c r="E18" s="36" t="s">
        <v>167</v>
      </c>
      <c r="F18" s="36" t="s">
        <v>166</v>
      </c>
      <c r="G18" s="37">
        <v>46135</v>
      </c>
      <c r="H18" s="35">
        <v>620000</v>
      </c>
      <c r="I18" s="35">
        <v>4</v>
      </c>
      <c r="J18" s="36">
        <v>94</v>
      </c>
    </row>
    <row r="19" spans="1:10">
      <c r="A19" s="35">
        <v>5017</v>
      </c>
      <c r="B19" s="36" t="s">
        <v>49</v>
      </c>
      <c r="C19" s="36" t="s">
        <v>11</v>
      </c>
      <c r="D19" s="36" t="s">
        <v>32</v>
      </c>
      <c r="E19" s="36" t="s">
        <v>24</v>
      </c>
      <c r="F19" s="36" t="s">
        <v>166</v>
      </c>
      <c r="G19" s="37">
        <v>46142</v>
      </c>
      <c r="H19" s="35">
        <v>360000</v>
      </c>
      <c r="I19" s="35">
        <v>2</v>
      </c>
      <c r="J19" s="36">
        <v>77</v>
      </c>
    </row>
    <row r="20" spans="1:10">
      <c r="A20" s="35">
        <v>5018</v>
      </c>
      <c r="B20" s="36" t="s">
        <v>50</v>
      </c>
      <c r="C20" s="36" t="s">
        <v>38</v>
      </c>
      <c r="D20" s="36" t="s">
        <v>28</v>
      </c>
      <c r="E20" s="36" t="s">
        <v>14</v>
      </c>
      <c r="F20" s="36" t="s">
        <v>25</v>
      </c>
      <c r="G20" s="37">
        <v>46149</v>
      </c>
      <c r="H20" s="35">
        <v>430000</v>
      </c>
      <c r="I20" s="35">
        <v>3</v>
      </c>
      <c r="J20" s="36">
        <v>72</v>
      </c>
    </row>
    <row r="21" spans="1:10">
      <c r="A21" s="35">
        <v>5019</v>
      </c>
      <c r="B21" s="36" t="s">
        <v>51</v>
      </c>
      <c r="C21" s="36" t="s">
        <v>11</v>
      </c>
      <c r="D21" s="36" t="s">
        <v>12</v>
      </c>
      <c r="E21" s="36" t="s">
        <v>167</v>
      </c>
      <c r="F21" s="36" t="s">
        <v>166</v>
      </c>
      <c r="G21" s="37">
        <v>46156</v>
      </c>
      <c r="H21" s="35">
        <v>500000</v>
      </c>
      <c r="I21" s="35">
        <v>1</v>
      </c>
      <c r="J21" s="36">
        <v>90</v>
      </c>
    </row>
    <row r="22" spans="1:10">
      <c r="A22" s="35">
        <v>5020</v>
      </c>
      <c r="B22" s="36" t="s">
        <v>171</v>
      </c>
      <c r="C22" s="36" t="s">
        <v>17</v>
      </c>
      <c r="D22" s="36" t="s">
        <v>18</v>
      </c>
      <c r="E22" s="36" t="s">
        <v>170</v>
      </c>
      <c r="F22" s="36" t="s">
        <v>168</v>
      </c>
      <c r="G22" s="37">
        <v>46163</v>
      </c>
      <c r="H22" s="35">
        <v>330000</v>
      </c>
      <c r="I22" s="35">
        <v>1</v>
      </c>
      <c r="J22" s="36">
        <v>74</v>
      </c>
    </row>
    <row r="23" spans="1:10">
      <c r="A23" s="35">
        <v>5021</v>
      </c>
      <c r="B23" s="36" t="s">
        <v>172</v>
      </c>
      <c r="C23" s="36" t="s">
        <v>11</v>
      </c>
      <c r="D23" s="36" t="s">
        <v>28</v>
      </c>
      <c r="E23" s="36" t="s">
        <v>24</v>
      </c>
      <c r="F23" s="36" t="s">
        <v>166</v>
      </c>
      <c r="G23" s="37">
        <v>46170</v>
      </c>
      <c r="H23" s="35">
        <v>460000</v>
      </c>
      <c r="I23" s="35">
        <v>2</v>
      </c>
      <c r="J23" s="36">
        <v>85</v>
      </c>
    </row>
    <row r="24" spans="1:10">
      <c r="A24" s="35">
        <v>5016</v>
      </c>
      <c r="B24" s="36" t="s">
        <v>48</v>
      </c>
      <c r="C24" s="36" t="s">
        <v>27</v>
      </c>
      <c r="D24" s="36" t="s">
        <v>12</v>
      </c>
      <c r="E24" s="36" t="s">
        <v>167</v>
      </c>
      <c r="F24" s="36" t="s">
        <v>166</v>
      </c>
      <c r="G24" s="37">
        <v>46177</v>
      </c>
      <c r="H24" s="35">
        <v>620000</v>
      </c>
      <c r="I24" s="35">
        <v>4</v>
      </c>
      <c r="J24" s="36">
        <v>94</v>
      </c>
    </row>
    <row r="25" spans="1:10">
      <c r="A25" s="35">
        <v>5022</v>
      </c>
      <c r="B25" s="36" t="s">
        <v>173</v>
      </c>
      <c r="C25" s="36" t="s">
        <v>11</v>
      </c>
      <c r="D25" s="36" t="s">
        <v>32</v>
      </c>
      <c r="E25" s="36" t="s">
        <v>14</v>
      </c>
      <c r="F25" s="36" t="s">
        <v>25</v>
      </c>
      <c r="G25" s="37">
        <v>46184</v>
      </c>
      <c r="H25" s="35">
        <v>350000</v>
      </c>
      <c r="I25" s="35">
        <v>1</v>
      </c>
      <c r="J25" s="36">
        <v>68</v>
      </c>
    </row>
    <row r="26" spans="1:10">
      <c r="A26" s="35">
        <v>5023</v>
      </c>
      <c r="B26" s="36" t="s">
        <v>174</v>
      </c>
      <c r="C26" s="36" t="s">
        <v>38</v>
      </c>
      <c r="D26" s="36" t="s">
        <v>12</v>
      </c>
      <c r="E26" s="36" t="s">
        <v>167</v>
      </c>
      <c r="F26" s="36" t="s">
        <v>166</v>
      </c>
      <c r="G26" s="37">
        <v>46191</v>
      </c>
      <c r="H26" s="35">
        <v>540000</v>
      </c>
      <c r="I26" s="35">
        <v>3</v>
      </c>
      <c r="J26" s="36">
        <v>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9FB9E-DDB0-42EF-A833-4FB23C7FE164}">
  <sheetPr>
    <tabColor theme="5" tint="0.59999389629810485"/>
  </sheetPr>
  <dimension ref="A1:R26"/>
  <sheetViews>
    <sheetView tabSelected="1" workbookViewId="0">
      <selection activeCell="E3" sqref="E3"/>
    </sheetView>
  </sheetViews>
  <sheetFormatPr defaultColWidth="14.54296875" defaultRowHeight="15" customHeight="1"/>
  <cols>
    <col min="1" max="1" width="11.26953125" bestFit="1" customWidth="1"/>
    <col min="2" max="2" width="14.453125" bestFit="1" customWidth="1"/>
    <col min="3" max="3" width="10" bestFit="1" customWidth="1"/>
    <col min="4" max="4" width="11.08984375" bestFit="1" customWidth="1"/>
    <col min="5" max="5" width="9.1796875" customWidth="1"/>
    <col min="6" max="6" width="8.90625" customWidth="1"/>
    <col min="7" max="7" width="11" bestFit="1" customWidth="1"/>
    <col min="8" max="8" width="9.36328125" bestFit="1" customWidth="1"/>
    <col min="9" max="9" width="9.90625" bestFit="1" customWidth="1"/>
    <col min="10" max="10" width="11.6328125" bestFit="1" customWidth="1"/>
    <col min="12" max="12" width="17.90625" bestFit="1" customWidth="1"/>
    <col min="13" max="13" width="20.1796875" customWidth="1"/>
    <col min="15" max="15" width="15.54296875" bestFit="1" customWidth="1"/>
  </cols>
  <sheetData>
    <row r="1" spans="1:18" ht="15" customHeight="1">
      <c r="A1" s="23" t="s">
        <v>160</v>
      </c>
      <c r="B1" s="24" t="s">
        <v>161</v>
      </c>
      <c r="C1" s="26" t="s">
        <v>2</v>
      </c>
      <c r="D1" s="22" t="s">
        <v>3</v>
      </c>
      <c r="E1" s="24" t="s">
        <v>5</v>
      </c>
      <c r="F1" s="24" t="s">
        <v>6</v>
      </c>
      <c r="G1" s="24" t="s">
        <v>162</v>
      </c>
      <c r="H1" s="23" t="s">
        <v>163</v>
      </c>
      <c r="I1" s="23" t="s">
        <v>9</v>
      </c>
      <c r="J1" s="24" t="s">
        <v>164</v>
      </c>
      <c r="K1" s="26" t="s">
        <v>90</v>
      </c>
      <c r="L1" s="22" t="s">
        <v>180</v>
      </c>
      <c r="M1" s="22" t="s">
        <v>187</v>
      </c>
      <c r="N1" s="22" t="s">
        <v>72</v>
      </c>
      <c r="O1" s="22" t="s">
        <v>83</v>
      </c>
      <c r="P1" s="22" t="s">
        <v>213</v>
      </c>
      <c r="Q1" s="22" t="s">
        <v>215</v>
      </c>
      <c r="R1" s="28"/>
    </row>
    <row r="2" spans="1:18" ht="15" customHeight="1">
      <c r="A2" s="52">
        <v>5001</v>
      </c>
      <c r="B2" s="53" t="s">
        <v>165</v>
      </c>
      <c r="C2" s="54" t="s">
        <v>11</v>
      </c>
      <c r="D2" s="54" t="s">
        <v>12</v>
      </c>
      <c r="E2" s="53" t="s">
        <v>14</v>
      </c>
      <c r="F2" s="53" t="s">
        <v>166</v>
      </c>
      <c r="G2" s="55">
        <v>46027</v>
      </c>
      <c r="H2" s="56">
        <v>420000</v>
      </c>
      <c r="I2" s="56">
        <v>1</v>
      </c>
      <c r="J2" s="62">
        <v>82</v>
      </c>
      <c r="K2" s="48" t="str">
        <f>IF(COUNTIF($A$2:$A$26,A2)&gt;1,"Duplicate","Unique")</f>
        <v>Unique</v>
      </c>
      <c r="L2" s="48" t="str" cm="1">
        <f t="array" ref="L2">_xlfn.IFS(OR(I2=1,I2=0),"Fresher",OR(I2=2,I2=3),"Imtermediate",I2&gt;3,"Experienced")</f>
        <v>Fresher</v>
      </c>
      <c r="M2" s="48" t="str" cm="1">
        <f t="array" ref="M2">_xlfn.IFS(J2&lt;70,"Need Improvement",J2&gt;89,"Excellent",J2&gt;79,"Good",J2&gt;69,"Average")</f>
        <v>Good</v>
      </c>
      <c r="N2" s="49" t="str" cm="1">
        <f t="array" ref="N2">_xlfn.IFS(H2&gt;499999,"High",H2&gt;399999,"Medium",H2&lt;400000,"Low")</f>
        <v>Medium</v>
      </c>
      <c r="O2" s="49" cm="1">
        <f t="array" ref="O2">_xlfn.IFS(OR(E2="Naukri",E2="LinkedIn"),2%,E2="Referral",5%,E2="Walk-in",1%)</f>
        <v>0.02</v>
      </c>
      <c r="P2" s="49" cm="1">
        <f t="array" ref="P2:P26">MONTH(G2:G26)</f>
        <v>1</v>
      </c>
      <c r="Q2" s="49" cm="1">
        <f t="array" ref="Q2:Q26">YEAR(G2:G26)</f>
        <v>2026</v>
      </c>
    </row>
    <row r="3" spans="1:18" ht="15" customHeight="1">
      <c r="A3" s="52">
        <v>5002</v>
      </c>
      <c r="B3" s="53" t="s">
        <v>22</v>
      </c>
      <c r="C3" s="54" t="s">
        <v>17</v>
      </c>
      <c r="D3" s="54" t="s">
        <v>28</v>
      </c>
      <c r="E3" s="53" t="s">
        <v>167</v>
      </c>
      <c r="F3" s="53" t="s">
        <v>166</v>
      </c>
      <c r="G3" s="55">
        <v>46034</v>
      </c>
      <c r="H3" s="56">
        <v>380000</v>
      </c>
      <c r="I3" s="56">
        <v>2</v>
      </c>
      <c r="J3" s="62">
        <v>76</v>
      </c>
      <c r="K3" s="48" t="str">
        <f t="shared" ref="K3:K26" si="0">IF(COUNTIF($A$2:$A$26,A3)&gt;1,"Duplicate","Unique")</f>
        <v>Unique</v>
      </c>
      <c r="L3" s="48" t="str" cm="1">
        <f t="array" ref="L3">_xlfn.IFS(OR(I3=1,I3=0),"Fresher",OR(I3=2,I3=3),"Imtermediate",I3&gt;3,"Experienced")</f>
        <v>Imtermediate</v>
      </c>
      <c r="M3" s="48" t="str" cm="1">
        <f t="array" ref="M3">_xlfn.IFS(J3&lt;70,"Need Improvement",J3&gt;89,"Excellent",J3&gt;79,"Good",J3&gt;69,"Average")</f>
        <v>Average</v>
      </c>
      <c r="N3" s="49" t="str" cm="1">
        <f t="array" ref="N3">_xlfn.IFS(H3&gt;499999,"High",H3&gt;399999,"Medium",H3&lt;400000,"Low")</f>
        <v>Low</v>
      </c>
      <c r="O3" s="49" cm="1">
        <f t="array" ref="O3">_xlfn.IFS(OR(E3="Naukri",E3="LinkedIn"),2%,E3="Referral",5%,E3="Walk-in",1%)</f>
        <v>0.05</v>
      </c>
      <c r="P3" s="49">
        <v>1</v>
      </c>
      <c r="Q3" s="49">
        <v>2026</v>
      </c>
    </row>
    <row r="4" spans="1:18" ht="15" customHeight="1">
      <c r="A4" s="52">
        <v>5003</v>
      </c>
      <c r="B4" s="53" t="s">
        <v>16</v>
      </c>
      <c r="C4" s="54" t="s">
        <v>11</v>
      </c>
      <c r="D4" s="54" t="s">
        <v>18</v>
      </c>
      <c r="E4" s="53" t="s">
        <v>24</v>
      </c>
      <c r="F4" s="53" t="s">
        <v>168</v>
      </c>
      <c r="G4" s="55">
        <v>46040</v>
      </c>
      <c r="H4" s="56">
        <v>350000</v>
      </c>
      <c r="I4" s="56">
        <v>1</v>
      </c>
      <c r="J4" s="62">
        <v>88</v>
      </c>
      <c r="K4" s="48" t="str">
        <f t="shared" si="0"/>
        <v>Unique</v>
      </c>
      <c r="L4" s="48" t="str" cm="1">
        <f t="array" ref="L4">_xlfn.IFS(OR(I4=1,I4=0),"Fresher",OR(I4=2,I4=3),"Imtermediate",I4&gt;3,"Experienced")</f>
        <v>Fresher</v>
      </c>
      <c r="M4" s="48" t="str" cm="1">
        <f t="array" ref="M4">_xlfn.IFS(J4&lt;70,"Need Improvement",J4&gt;89,"Excellent",J4&gt;79,"Good",J4&gt;69,"Average")</f>
        <v>Good</v>
      </c>
      <c r="N4" s="49" t="str" cm="1">
        <f t="array" ref="N4">_xlfn.IFS(H4&gt;499999,"High",H4&gt;399999,"Medium",H4&lt;400000,"Low")</f>
        <v>Low</v>
      </c>
      <c r="O4" s="49" cm="1">
        <f t="array" ref="O4">_xlfn.IFS(OR(E4="Naukri",E4="LinkedIn"),2%,E4="Referral",5%,E4="Walk-in",1%)</f>
        <v>0.02</v>
      </c>
      <c r="P4" s="49">
        <v>1</v>
      </c>
      <c r="Q4" s="49">
        <v>2026</v>
      </c>
    </row>
    <row r="5" spans="1:18" ht="15" customHeight="1">
      <c r="A5" s="52">
        <v>5004</v>
      </c>
      <c r="B5" s="53" t="s">
        <v>169</v>
      </c>
      <c r="C5" s="54" t="s">
        <v>27</v>
      </c>
      <c r="D5" s="54" t="s">
        <v>12</v>
      </c>
      <c r="E5" s="53" t="s">
        <v>14</v>
      </c>
      <c r="F5" s="53" t="s">
        <v>166</v>
      </c>
      <c r="G5" s="55">
        <v>46044</v>
      </c>
      <c r="H5" s="56">
        <v>550000</v>
      </c>
      <c r="I5" s="56">
        <v>3</v>
      </c>
      <c r="J5" s="62">
        <v>91</v>
      </c>
      <c r="K5" s="48" t="str">
        <f t="shared" si="0"/>
        <v>Unique</v>
      </c>
      <c r="L5" s="48" t="str" cm="1">
        <f t="array" ref="L5">_xlfn.IFS(OR(I5=1,I5=0),"Fresher",OR(I5=2,I5=3),"Imtermediate",I5&gt;3,"Experienced")</f>
        <v>Imtermediate</v>
      </c>
      <c r="M5" s="48" t="str" cm="1">
        <f t="array" ref="M5">_xlfn.IFS(J5&lt;70,"Need Improvement",J5&gt;89,"Excellent",J5&gt;79,"Good",J5&gt;69,"Average")</f>
        <v>Excellent</v>
      </c>
      <c r="N5" s="49" t="str" cm="1">
        <f t="array" ref="N5">_xlfn.IFS(H5&gt;499999,"High",H5&gt;399999,"Medium",H5&lt;400000,"Low")</f>
        <v>High</v>
      </c>
      <c r="O5" s="49" cm="1">
        <f t="array" ref="O5">_xlfn.IFS(OR(E5="Naukri",E5="LinkedIn"),2%,E5="Referral",5%,E5="Walk-in",1%)</f>
        <v>0.02</v>
      </c>
      <c r="P5" s="49">
        <v>1</v>
      </c>
      <c r="Q5" s="49">
        <v>2026</v>
      </c>
    </row>
    <row r="6" spans="1:18" ht="15" customHeight="1">
      <c r="A6" s="52">
        <v>5005</v>
      </c>
      <c r="B6" s="53" t="s">
        <v>31</v>
      </c>
      <c r="C6" s="54" t="s">
        <v>11</v>
      </c>
      <c r="D6" s="54" t="s">
        <v>28</v>
      </c>
      <c r="E6" s="53" t="s">
        <v>167</v>
      </c>
      <c r="F6" s="53" t="s">
        <v>25</v>
      </c>
      <c r="G6" s="55">
        <v>46051</v>
      </c>
      <c r="H6" s="56">
        <v>400000</v>
      </c>
      <c r="I6" s="56">
        <v>2</v>
      </c>
      <c r="J6" s="62">
        <v>69</v>
      </c>
      <c r="K6" s="48" t="str">
        <f t="shared" si="0"/>
        <v>Duplicate</v>
      </c>
      <c r="L6" s="48" t="str" cm="1">
        <f t="array" ref="L6">_xlfn.IFS(OR(I6=1,I6=0),"Fresher",OR(I6=2,I6=3),"Imtermediate",I6&gt;3,"Experienced")</f>
        <v>Imtermediate</v>
      </c>
      <c r="M6" s="48" t="str" cm="1">
        <f t="array" ref="M6">_xlfn.IFS(J6&lt;70,"Need Improvement",J6&gt;89,"Excellent",J6&gt;79,"Good",J6&gt;69,"Average")</f>
        <v>Need Improvement</v>
      </c>
      <c r="N6" s="49" t="str" cm="1">
        <f t="array" ref="N6">_xlfn.IFS(H6&gt;499999,"High",H6&gt;399999,"Medium",H6&lt;400000,"Low")</f>
        <v>Medium</v>
      </c>
      <c r="O6" s="49" cm="1">
        <f t="array" ref="O6">_xlfn.IFS(OR(E6="Naukri",E6="LinkedIn"),2%,E6="Referral",5%,E6="Walk-in",1%)</f>
        <v>0.05</v>
      </c>
      <c r="P6" s="49">
        <v>1</v>
      </c>
      <c r="Q6" s="49">
        <v>2026</v>
      </c>
    </row>
    <row r="7" spans="1:18" ht="15" customHeight="1">
      <c r="A7" s="52">
        <v>5006</v>
      </c>
      <c r="B7" s="53" t="s">
        <v>98</v>
      </c>
      <c r="C7" s="54" t="s">
        <v>38</v>
      </c>
      <c r="D7" s="54" t="s">
        <v>12</v>
      </c>
      <c r="E7" s="53" t="s">
        <v>24</v>
      </c>
      <c r="F7" s="53" t="s">
        <v>166</v>
      </c>
      <c r="G7" s="55">
        <v>46056</v>
      </c>
      <c r="H7" s="56">
        <v>600000</v>
      </c>
      <c r="I7" s="56">
        <v>4</v>
      </c>
      <c r="J7" s="62">
        <v>95</v>
      </c>
      <c r="K7" s="48" t="str">
        <f t="shared" si="0"/>
        <v>Unique</v>
      </c>
      <c r="L7" s="48" t="str" cm="1">
        <f t="array" ref="L7">_xlfn.IFS(OR(I7=1,I7=0),"Fresher",OR(I7=2,I7=3),"Imtermediate",I7&gt;3,"Experienced")</f>
        <v>Experienced</v>
      </c>
      <c r="M7" s="48" t="str" cm="1">
        <f t="array" ref="M7">_xlfn.IFS(J7&lt;70,"Need Improvement",J7&gt;89,"Excellent",J7&gt;79,"Good",J7&gt;69,"Average")</f>
        <v>Excellent</v>
      </c>
      <c r="N7" s="49" t="str" cm="1">
        <f t="array" ref="N7">_xlfn.IFS(H7&gt;499999,"High",H7&gt;399999,"Medium",H7&lt;400000,"Low")</f>
        <v>High</v>
      </c>
      <c r="O7" s="49" cm="1">
        <f t="array" ref="O7">_xlfn.IFS(OR(E7="Naukri",E7="LinkedIn"),2%,E7="Referral",5%,E7="Walk-in",1%)</f>
        <v>0.02</v>
      </c>
      <c r="P7" s="49">
        <v>2</v>
      </c>
      <c r="Q7" s="49">
        <v>2026</v>
      </c>
    </row>
    <row r="8" spans="1:18" ht="15" customHeight="1">
      <c r="A8" s="52">
        <v>5007</v>
      </c>
      <c r="B8" s="53" t="s">
        <v>26</v>
      </c>
      <c r="C8" s="54" t="s">
        <v>11</v>
      </c>
      <c r="D8" s="54" t="s">
        <v>32</v>
      </c>
      <c r="E8" s="53" t="s">
        <v>170</v>
      </c>
      <c r="F8" s="53" t="s">
        <v>168</v>
      </c>
      <c r="G8" s="55">
        <v>46063</v>
      </c>
      <c r="H8" s="56">
        <v>320000</v>
      </c>
      <c r="I8" s="56">
        <v>1</v>
      </c>
      <c r="J8" s="62">
        <v>73</v>
      </c>
      <c r="K8" s="48" t="str">
        <f t="shared" si="0"/>
        <v>Unique</v>
      </c>
      <c r="L8" s="48" t="str" cm="1">
        <f t="array" ref="L8">_xlfn.IFS(OR(I8=1,I8=0),"Fresher",OR(I8=2,I8=3),"Imtermediate",I8&gt;3,"Experienced")</f>
        <v>Fresher</v>
      </c>
      <c r="M8" s="48" t="str" cm="1">
        <f t="array" ref="M8">_xlfn.IFS(J8&lt;70,"Need Improvement",J8&gt;89,"Excellent",J8&gt;79,"Good",J8&gt;69,"Average")</f>
        <v>Average</v>
      </c>
      <c r="N8" s="49" t="str" cm="1">
        <f t="array" ref="N8">_xlfn.IFS(H8&gt;499999,"High",H8&gt;399999,"Medium",H8&lt;400000,"Low")</f>
        <v>Low</v>
      </c>
      <c r="O8" s="49" cm="1">
        <f t="array" ref="O8">_xlfn.IFS(OR(E8="Naukri",E8="LinkedIn"),2%,E8="Referral",5%,E8="Walk-in",1%)</f>
        <v>0.01</v>
      </c>
      <c r="P8" s="49">
        <v>2</v>
      </c>
      <c r="Q8" s="49">
        <v>2026</v>
      </c>
    </row>
    <row r="9" spans="1:18" ht="15" customHeight="1">
      <c r="A9" s="52">
        <v>5008</v>
      </c>
      <c r="B9" s="53" t="s">
        <v>44</v>
      </c>
      <c r="C9" s="54" t="s">
        <v>17</v>
      </c>
      <c r="D9" s="54" t="s">
        <v>12</v>
      </c>
      <c r="E9" s="53" t="s">
        <v>14</v>
      </c>
      <c r="F9" s="53" t="s">
        <v>166</v>
      </c>
      <c r="G9" s="55">
        <v>46070</v>
      </c>
      <c r="H9" s="56">
        <v>480000</v>
      </c>
      <c r="I9" s="56">
        <v>2</v>
      </c>
      <c r="J9" s="62">
        <v>84</v>
      </c>
      <c r="K9" s="48" t="str">
        <f t="shared" si="0"/>
        <v>Unique</v>
      </c>
      <c r="L9" s="48" t="str" cm="1">
        <f t="array" ref="L9">_xlfn.IFS(OR(I9=1,I9=0),"Fresher",OR(I9=2,I9=3),"Imtermediate",I9&gt;3,"Experienced")</f>
        <v>Imtermediate</v>
      </c>
      <c r="M9" s="48" t="str" cm="1">
        <f t="array" ref="M9">_xlfn.IFS(J9&lt;70,"Need Improvement",J9&gt;89,"Excellent",J9&gt;79,"Good",J9&gt;69,"Average")</f>
        <v>Good</v>
      </c>
      <c r="N9" s="49" t="str" cm="1">
        <f t="array" ref="N9">_xlfn.IFS(H9&gt;499999,"High",H9&gt;399999,"Medium",H9&lt;400000,"Low")</f>
        <v>Medium</v>
      </c>
      <c r="O9" s="49" cm="1">
        <f t="array" ref="O9">_xlfn.IFS(OR(E9="Naukri",E9="LinkedIn"),2%,E9="Referral",5%,E9="Walk-in",1%)</f>
        <v>0.02</v>
      </c>
      <c r="P9" s="49">
        <v>2</v>
      </c>
      <c r="Q9" s="49">
        <v>2026</v>
      </c>
    </row>
    <row r="10" spans="1:18" ht="15" customHeight="1">
      <c r="A10" s="52">
        <v>5009</v>
      </c>
      <c r="B10" s="53" t="s">
        <v>43</v>
      </c>
      <c r="C10" s="54" t="s">
        <v>11</v>
      </c>
      <c r="D10" s="54" t="s">
        <v>18</v>
      </c>
      <c r="E10" s="53" t="s">
        <v>167</v>
      </c>
      <c r="F10" s="53" t="s">
        <v>166</v>
      </c>
      <c r="G10" s="55">
        <v>46077</v>
      </c>
      <c r="H10" s="56">
        <v>390000</v>
      </c>
      <c r="I10" s="56">
        <v>2</v>
      </c>
      <c r="J10" s="62">
        <v>79</v>
      </c>
      <c r="K10" s="48" t="str">
        <f t="shared" si="0"/>
        <v>Unique</v>
      </c>
      <c r="L10" s="48" t="str" cm="1">
        <f t="array" ref="L10">_xlfn.IFS(OR(I10=1,I10=0),"Fresher",OR(I10=2,I10=3),"Imtermediate",I10&gt;3,"Experienced")</f>
        <v>Imtermediate</v>
      </c>
      <c r="M10" s="48" t="str" cm="1">
        <f t="array" ref="M10">_xlfn.IFS(J10&lt;70,"Need Improvement",J10&gt;89,"Excellent",J10&gt;79,"Good",J10&gt;69,"Average")</f>
        <v>Average</v>
      </c>
      <c r="N10" s="49" t="str" cm="1">
        <f t="array" ref="N10">_xlfn.IFS(H10&gt;499999,"High",H10&gt;399999,"Medium",H10&lt;400000,"Low")</f>
        <v>Low</v>
      </c>
      <c r="O10" s="49" cm="1">
        <f t="array" ref="O10">_xlfn.IFS(OR(E10="Naukri",E10="LinkedIn"),2%,E10="Referral",5%,E10="Walk-in",1%)</f>
        <v>0.05</v>
      </c>
      <c r="P10" s="49">
        <v>2</v>
      </c>
      <c r="Q10" s="49">
        <v>2026</v>
      </c>
    </row>
    <row r="11" spans="1:18" ht="15" customHeight="1">
      <c r="A11" s="52">
        <v>5010</v>
      </c>
      <c r="B11" s="53" t="s">
        <v>42</v>
      </c>
      <c r="C11" s="54" t="s">
        <v>27</v>
      </c>
      <c r="D11" s="54" t="s">
        <v>28</v>
      </c>
      <c r="E11" s="53" t="s">
        <v>24</v>
      </c>
      <c r="F11" s="53" t="s">
        <v>25</v>
      </c>
      <c r="G11" s="55">
        <v>46084</v>
      </c>
      <c r="H11" s="56">
        <v>450000</v>
      </c>
      <c r="I11" s="56">
        <v>3</v>
      </c>
      <c r="J11" s="62">
        <v>71</v>
      </c>
      <c r="K11" s="48" t="str">
        <f t="shared" si="0"/>
        <v>Unique</v>
      </c>
      <c r="L11" s="48" t="str" cm="1">
        <f t="array" ref="L11">_xlfn.IFS(OR(I11=1,I11=0),"Fresher",OR(I11=2,I11=3),"Imtermediate",I11&gt;3,"Experienced")</f>
        <v>Imtermediate</v>
      </c>
      <c r="M11" s="48" t="str" cm="1">
        <f t="array" ref="M11">_xlfn.IFS(J11&lt;70,"Need Improvement",J11&gt;89,"Excellent",J11&gt;79,"Good",J11&gt;69,"Average")</f>
        <v>Average</v>
      </c>
      <c r="N11" s="49" t="str" cm="1">
        <f t="array" ref="N11">_xlfn.IFS(H11&gt;499999,"High",H11&gt;399999,"Medium",H11&lt;400000,"Low")</f>
        <v>Medium</v>
      </c>
      <c r="O11" s="49" cm="1">
        <f t="array" ref="O11">_xlfn.IFS(OR(E11="Naukri",E11="LinkedIn"),2%,E11="Referral",5%,E11="Walk-in",1%)</f>
        <v>0.02</v>
      </c>
      <c r="P11" s="49">
        <v>3</v>
      </c>
      <c r="Q11" s="49">
        <v>2026</v>
      </c>
    </row>
    <row r="12" spans="1:18" ht="15" customHeight="1">
      <c r="A12" s="52">
        <v>5011</v>
      </c>
      <c r="B12" s="53" t="s">
        <v>37</v>
      </c>
      <c r="C12" s="54" t="s">
        <v>11</v>
      </c>
      <c r="D12" s="54" t="s">
        <v>12</v>
      </c>
      <c r="E12" s="53" t="s">
        <v>14</v>
      </c>
      <c r="F12" s="53" t="s">
        <v>166</v>
      </c>
      <c r="G12" s="55">
        <v>46092</v>
      </c>
      <c r="H12" s="56">
        <v>520000</v>
      </c>
      <c r="I12" s="56">
        <v>1</v>
      </c>
      <c r="J12" s="62">
        <v>89</v>
      </c>
      <c r="K12" s="48" t="str">
        <f t="shared" si="0"/>
        <v>Unique</v>
      </c>
      <c r="L12" s="48" t="str" cm="1">
        <f t="array" ref="L12">_xlfn.IFS(OR(I12=1,I12=0),"Fresher",OR(I12=2,I12=3),"Imtermediate",I12&gt;3,"Experienced")</f>
        <v>Fresher</v>
      </c>
      <c r="M12" s="48" t="str" cm="1">
        <f t="array" ref="M12">_xlfn.IFS(J12&lt;70,"Need Improvement",J12&gt;89,"Excellent",J12&gt;79,"Good",J12&gt;69,"Average")</f>
        <v>Good</v>
      </c>
      <c r="N12" s="49" t="str" cm="1">
        <f t="array" ref="N12">_xlfn.IFS(H12&gt;499999,"High",H12&gt;399999,"Medium",H12&lt;400000,"Low")</f>
        <v>High</v>
      </c>
      <c r="O12" s="49" cm="1">
        <f t="array" ref="O12">_xlfn.IFS(OR(E12="Naukri",E12="LinkedIn"),2%,E12="Referral",5%,E12="Walk-in",1%)</f>
        <v>0.02</v>
      </c>
      <c r="P12" s="49">
        <v>3</v>
      </c>
      <c r="Q12" s="49">
        <v>2026</v>
      </c>
    </row>
    <row r="13" spans="1:18" ht="15" customHeight="1">
      <c r="A13" s="52">
        <v>5012</v>
      </c>
      <c r="B13" s="53" t="s">
        <v>35</v>
      </c>
      <c r="C13" s="54" t="s">
        <v>38</v>
      </c>
      <c r="D13" s="54" t="s">
        <v>32</v>
      </c>
      <c r="E13" s="53" t="s">
        <v>167</v>
      </c>
      <c r="F13" s="53" t="s">
        <v>168</v>
      </c>
      <c r="G13" s="55">
        <v>46099</v>
      </c>
      <c r="H13" s="56">
        <v>340000</v>
      </c>
      <c r="I13" s="56">
        <v>2</v>
      </c>
      <c r="J13" s="62">
        <v>67</v>
      </c>
      <c r="K13" s="48" t="str">
        <f t="shared" si="0"/>
        <v>Unique</v>
      </c>
      <c r="L13" s="48" t="str" cm="1">
        <f t="array" ref="L13">_xlfn.IFS(OR(I13=1,I13=0),"Fresher",OR(I13=2,I13=3),"Imtermediate",I13&gt;3,"Experienced")</f>
        <v>Imtermediate</v>
      </c>
      <c r="M13" s="48" t="str" cm="1">
        <f t="array" ref="M13">_xlfn.IFS(J13&lt;70,"Need Improvement",J13&gt;89,"Excellent",J13&gt;79,"Good",J13&gt;69,"Average")</f>
        <v>Need Improvement</v>
      </c>
      <c r="N13" s="49" t="str" cm="1">
        <f t="array" ref="N13">_xlfn.IFS(H13&gt;499999,"High",H13&gt;399999,"Medium",H13&lt;400000,"Low")</f>
        <v>Low</v>
      </c>
      <c r="O13" s="49" cm="1">
        <f t="array" ref="O13">_xlfn.IFS(OR(E13="Naukri",E13="LinkedIn"),2%,E13="Referral",5%,E13="Walk-in",1%)</f>
        <v>0.05</v>
      </c>
      <c r="P13" s="49">
        <v>3</v>
      </c>
      <c r="Q13" s="49">
        <v>2026</v>
      </c>
    </row>
    <row r="14" spans="1:18" ht="15" customHeight="1">
      <c r="A14" s="52">
        <v>5013</v>
      </c>
      <c r="B14" s="53" t="s">
        <v>45</v>
      </c>
      <c r="C14" s="54" t="s">
        <v>11</v>
      </c>
      <c r="D14" s="54" t="s">
        <v>28</v>
      </c>
      <c r="E14" s="53" t="s">
        <v>170</v>
      </c>
      <c r="F14" s="53" t="s">
        <v>166</v>
      </c>
      <c r="G14" s="55">
        <v>46106</v>
      </c>
      <c r="H14" s="56">
        <v>410000</v>
      </c>
      <c r="I14" s="56">
        <v>3</v>
      </c>
      <c r="J14" s="62">
        <v>86</v>
      </c>
      <c r="K14" s="48" t="str">
        <f t="shared" si="0"/>
        <v>Unique</v>
      </c>
      <c r="L14" s="48" t="str" cm="1">
        <f t="array" ref="L14">_xlfn.IFS(OR(I14=1,I14=0),"Fresher",OR(I14=2,I14=3),"Imtermediate",I14&gt;3,"Experienced")</f>
        <v>Imtermediate</v>
      </c>
      <c r="M14" s="48" t="str" cm="1">
        <f t="array" ref="M14">_xlfn.IFS(J14&lt;70,"Need Improvement",J14&gt;89,"Excellent",J14&gt;79,"Good",J14&gt;69,"Average")</f>
        <v>Good</v>
      </c>
      <c r="N14" s="49" t="str" cm="1">
        <f t="array" ref="N14">_xlfn.IFS(H14&gt;499999,"High",H14&gt;399999,"Medium",H14&lt;400000,"Low")</f>
        <v>Medium</v>
      </c>
      <c r="O14" s="49" cm="1">
        <f t="array" ref="O14">_xlfn.IFS(OR(E14="Naukri",E14="LinkedIn"),2%,E14="Referral",5%,E14="Walk-in",1%)</f>
        <v>0.01</v>
      </c>
      <c r="P14" s="49">
        <v>3</v>
      </c>
      <c r="Q14" s="49">
        <v>2026</v>
      </c>
    </row>
    <row r="15" spans="1:18" ht="15" customHeight="1">
      <c r="A15" s="52">
        <v>5014</v>
      </c>
      <c r="B15" s="53" t="s">
        <v>46</v>
      </c>
      <c r="C15" s="54" t="s">
        <v>17</v>
      </c>
      <c r="D15" s="54" t="s">
        <v>12</v>
      </c>
      <c r="E15" s="53" t="s">
        <v>24</v>
      </c>
      <c r="F15" s="53" t="s">
        <v>166</v>
      </c>
      <c r="G15" s="55">
        <v>46114</v>
      </c>
      <c r="H15" s="56">
        <v>580000</v>
      </c>
      <c r="I15" s="56">
        <v>2</v>
      </c>
      <c r="J15" s="62">
        <v>92</v>
      </c>
      <c r="K15" s="48" t="str">
        <f t="shared" si="0"/>
        <v>Unique</v>
      </c>
      <c r="L15" s="48" t="str" cm="1">
        <f t="array" ref="L15">_xlfn.IFS(OR(I15=1,I15=0),"Fresher",OR(I15=2,I15=3),"Imtermediate",I15&gt;3,"Experienced")</f>
        <v>Imtermediate</v>
      </c>
      <c r="M15" s="48" t="str" cm="1">
        <f t="array" ref="M15">_xlfn.IFS(J15&lt;70,"Need Improvement",J15&gt;89,"Excellent",J15&gt;79,"Good",J15&gt;69,"Average")</f>
        <v>Excellent</v>
      </c>
      <c r="N15" s="49" t="str" cm="1">
        <f t="array" ref="N15">_xlfn.IFS(H15&gt;499999,"High",H15&gt;399999,"Medium",H15&lt;400000,"Low")</f>
        <v>High</v>
      </c>
      <c r="O15" s="49" cm="1">
        <f t="array" ref="O15">_xlfn.IFS(OR(E15="Naukri",E15="LinkedIn"),2%,E15="Referral",5%,E15="Walk-in",1%)</f>
        <v>0.02</v>
      </c>
      <c r="P15" s="49">
        <v>4</v>
      </c>
      <c r="Q15" s="49">
        <v>2026</v>
      </c>
    </row>
    <row r="16" spans="1:18" ht="15" customHeight="1">
      <c r="A16" s="52">
        <v>5005</v>
      </c>
      <c r="B16" s="53" t="s">
        <v>31</v>
      </c>
      <c r="C16" s="54" t="s">
        <v>11</v>
      </c>
      <c r="D16" s="54" t="s">
        <v>28</v>
      </c>
      <c r="E16" s="53" t="s">
        <v>167</v>
      </c>
      <c r="F16" s="53" t="s">
        <v>25</v>
      </c>
      <c r="G16" s="55">
        <v>46121</v>
      </c>
      <c r="H16" s="56">
        <v>400000</v>
      </c>
      <c r="I16" s="56">
        <v>2</v>
      </c>
      <c r="J16" s="62">
        <v>69</v>
      </c>
      <c r="K16" s="48" t="str">
        <f t="shared" si="0"/>
        <v>Duplicate</v>
      </c>
      <c r="L16" s="48" t="str" cm="1">
        <f t="array" ref="L16">_xlfn.IFS(OR(I16=1,I16=0),"Fresher",OR(I16=2,I16=3),"Imtermediate",I16&gt;3,"Experienced")</f>
        <v>Imtermediate</v>
      </c>
      <c r="M16" s="48" t="str" cm="1">
        <f t="array" ref="M16">_xlfn.IFS(J16&lt;70,"Need Improvement",J16&gt;89,"Excellent",J16&gt;79,"Good",J16&gt;69,"Average")</f>
        <v>Need Improvement</v>
      </c>
      <c r="N16" s="49" t="str" cm="1">
        <f t="array" ref="N16">_xlfn.IFS(H16&gt;499999,"High",H16&gt;399999,"Medium",H16&lt;400000,"Low")</f>
        <v>Medium</v>
      </c>
      <c r="O16" s="49" cm="1">
        <f t="array" ref="O16">_xlfn.IFS(OR(E16="Naukri",E16="LinkedIn"),2%,E16="Referral",5%,E16="Walk-in",1%)</f>
        <v>0.05</v>
      </c>
      <c r="P16" s="49">
        <v>4</v>
      </c>
      <c r="Q16" s="49">
        <v>2026</v>
      </c>
    </row>
    <row r="17" spans="1:17" ht="15" customHeight="1">
      <c r="A17" s="52">
        <v>5015</v>
      </c>
      <c r="B17" s="53" t="s">
        <v>47</v>
      </c>
      <c r="C17" s="54" t="s">
        <v>11</v>
      </c>
      <c r="D17" s="54" t="s">
        <v>18</v>
      </c>
      <c r="E17" s="53" t="s">
        <v>14</v>
      </c>
      <c r="F17" s="53" t="s">
        <v>168</v>
      </c>
      <c r="G17" s="55">
        <v>46128</v>
      </c>
      <c r="H17" s="56">
        <v>370000</v>
      </c>
      <c r="I17" s="56">
        <v>1</v>
      </c>
      <c r="J17" s="62">
        <v>81</v>
      </c>
      <c r="K17" s="48" t="str">
        <f t="shared" si="0"/>
        <v>Unique</v>
      </c>
      <c r="L17" s="48" t="str" cm="1">
        <f t="array" ref="L17">_xlfn.IFS(OR(I17=1,I17=0),"Fresher",OR(I17=2,I17=3),"Imtermediate",I17&gt;3,"Experienced")</f>
        <v>Fresher</v>
      </c>
      <c r="M17" s="48" t="str" cm="1">
        <f t="array" ref="M17">_xlfn.IFS(J17&lt;70,"Need Improvement",J17&gt;89,"Excellent",J17&gt;79,"Good",J17&gt;69,"Average")</f>
        <v>Good</v>
      </c>
      <c r="N17" s="49" t="str" cm="1">
        <f t="array" ref="N17">_xlfn.IFS(H17&gt;499999,"High",H17&gt;399999,"Medium",H17&lt;400000,"Low")</f>
        <v>Low</v>
      </c>
      <c r="O17" s="49" cm="1">
        <f t="array" ref="O17">_xlfn.IFS(OR(E17="Naukri",E17="LinkedIn"),2%,E17="Referral",5%,E17="Walk-in",1%)</f>
        <v>0.02</v>
      </c>
      <c r="P17" s="49">
        <v>4</v>
      </c>
      <c r="Q17" s="49">
        <v>2026</v>
      </c>
    </row>
    <row r="18" spans="1:17" ht="15" customHeight="1">
      <c r="A18" s="52">
        <v>5016</v>
      </c>
      <c r="B18" s="53" t="s">
        <v>48</v>
      </c>
      <c r="C18" s="54" t="s">
        <v>27</v>
      </c>
      <c r="D18" s="54" t="s">
        <v>12</v>
      </c>
      <c r="E18" s="53" t="s">
        <v>167</v>
      </c>
      <c r="F18" s="53" t="s">
        <v>166</v>
      </c>
      <c r="G18" s="55">
        <v>46135</v>
      </c>
      <c r="H18" s="56">
        <v>620000</v>
      </c>
      <c r="I18" s="56">
        <v>4</v>
      </c>
      <c r="J18" s="62">
        <v>94</v>
      </c>
      <c r="K18" s="48" t="str">
        <f t="shared" si="0"/>
        <v>Duplicate</v>
      </c>
      <c r="L18" s="48" t="str" cm="1">
        <f t="array" ref="L18">_xlfn.IFS(OR(I18=1,I18=0),"Fresher",OR(I18=2,I18=3),"Imtermediate",I18&gt;3,"Experienced")</f>
        <v>Experienced</v>
      </c>
      <c r="M18" s="48" t="str" cm="1">
        <f t="array" ref="M18">_xlfn.IFS(J18&lt;70,"Need Improvement",J18&gt;89,"Excellent",J18&gt;79,"Good",J18&gt;69,"Average")</f>
        <v>Excellent</v>
      </c>
      <c r="N18" s="49" t="str" cm="1">
        <f t="array" ref="N18">_xlfn.IFS(H18&gt;499999,"High",H18&gt;399999,"Medium",H18&lt;400000,"Low")</f>
        <v>High</v>
      </c>
      <c r="O18" s="49" cm="1">
        <f t="array" ref="O18">_xlfn.IFS(OR(E18="Naukri",E18="LinkedIn"),2%,E18="Referral",5%,E18="Walk-in",1%)</f>
        <v>0.05</v>
      </c>
      <c r="P18" s="49">
        <v>4</v>
      </c>
      <c r="Q18" s="49">
        <v>2026</v>
      </c>
    </row>
    <row r="19" spans="1:17" ht="15" customHeight="1">
      <c r="A19" s="52">
        <v>5017</v>
      </c>
      <c r="B19" s="53" t="s">
        <v>49</v>
      </c>
      <c r="C19" s="54" t="s">
        <v>11</v>
      </c>
      <c r="D19" s="54" t="s">
        <v>32</v>
      </c>
      <c r="E19" s="53" t="s">
        <v>24</v>
      </c>
      <c r="F19" s="53" t="s">
        <v>166</v>
      </c>
      <c r="G19" s="55">
        <v>46142</v>
      </c>
      <c r="H19" s="56">
        <v>360000</v>
      </c>
      <c r="I19" s="56">
        <v>2</v>
      </c>
      <c r="J19" s="62">
        <v>77</v>
      </c>
      <c r="K19" s="48" t="str">
        <f t="shared" si="0"/>
        <v>Unique</v>
      </c>
      <c r="L19" s="48" t="str" cm="1">
        <f t="array" ref="L19">_xlfn.IFS(OR(I19=1,I19=0),"Fresher",OR(I19=2,I19=3),"Imtermediate",I19&gt;3,"Experienced")</f>
        <v>Imtermediate</v>
      </c>
      <c r="M19" s="48" t="str" cm="1">
        <f t="array" ref="M19">_xlfn.IFS(J19&lt;70,"Need Improvement",J19&gt;89,"Excellent",J19&gt;79,"Good",J19&gt;69,"Average")</f>
        <v>Average</v>
      </c>
      <c r="N19" s="49" t="str" cm="1">
        <f t="array" ref="N19">_xlfn.IFS(H19&gt;499999,"High",H19&gt;399999,"Medium",H19&lt;400000,"Low")</f>
        <v>Low</v>
      </c>
      <c r="O19" s="49" cm="1">
        <f t="array" ref="O19">_xlfn.IFS(OR(E19="Naukri",E19="LinkedIn"),2%,E19="Referral",5%,E19="Walk-in",1%)</f>
        <v>0.02</v>
      </c>
      <c r="P19" s="49">
        <v>4</v>
      </c>
      <c r="Q19" s="49">
        <v>2026</v>
      </c>
    </row>
    <row r="20" spans="1:17" ht="15" customHeight="1">
      <c r="A20" s="52">
        <v>5018</v>
      </c>
      <c r="B20" s="53" t="s">
        <v>50</v>
      </c>
      <c r="C20" s="54" t="s">
        <v>38</v>
      </c>
      <c r="D20" s="54" t="s">
        <v>28</v>
      </c>
      <c r="E20" s="53" t="s">
        <v>14</v>
      </c>
      <c r="F20" s="53" t="s">
        <v>25</v>
      </c>
      <c r="G20" s="55">
        <v>46149</v>
      </c>
      <c r="H20" s="56">
        <v>430000</v>
      </c>
      <c r="I20" s="56">
        <v>3</v>
      </c>
      <c r="J20" s="62">
        <v>72</v>
      </c>
      <c r="K20" s="48" t="str">
        <f t="shared" si="0"/>
        <v>Unique</v>
      </c>
      <c r="L20" s="48" t="str" cm="1">
        <f t="array" ref="L20">_xlfn.IFS(OR(I20=1,I20=0),"Fresher",OR(I20=2,I20=3),"Imtermediate",I20&gt;3,"Experienced")</f>
        <v>Imtermediate</v>
      </c>
      <c r="M20" s="48" t="str" cm="1">
        <f t="array" ref="M20">_xlfn.IFS(J20&lt;70,"Need Improvement",J20&gt;89,"Excellent",J20&gt;79,"Good",J20&gt;69,"Average")</f>
        <v>Average</v>
      </c>
      <c r="N20" s="49" t="str" cm="1">
        <f t="array" ref="N20">_xlfn.IFS(H20&gt;499999,"High",H20&gt;399999,"Medium",H20&lt;400000,"Low")</f>
        <v>Medium</v>
      </c>
      <c r="O20" s="49" cm="1">
        <f t="array" ref="O20">_xlfn.IFS(OR(E20="Naukri",E20="LinkedIn"),2%,E20="Referral",5%,E20="Walk-in",1%)</f>
        <v>0.02</v>
      </c>
      <c r="P20" s="49">
        <v>5</v>
      </c>
      <c r="Q20" s="49">
        <v>2026</v>
      </c>
    </row>
    <row r="21" spans="1:17" ht="15" customHeight="1">
      <c r="A21" s="52">
        <v>5019</v>
      </c>
      <c r="B21" s="53" t="s">
        <v>51</v>
      </c>
      <c r="C21" s="54" t="s">
        <v>11</v>
      </c>
      <c r="D21" s="54" t="s">
        <v>12</v>
      </c>
      <c r="E21" s="53" t="s">
        <v>167</v>
      </c>
      <c r="F21" s="53" t="s">
        <v>166</v>
      </c>
      <c r="G21" s="55">
        <v>46156</v>
      </c>
      <c r="H21" s="56">
        <v>500000</v>
      </c>
      <c r="I21" s="56">
        <v>1</v>
      </c>
      <c r="J21" s="62">
        <v>90</v>
      </c>
      <c r="K21" s="48" t="str">
        <f t="shared" si="0"/>
        <v>Unique</v>
      </c>
      <c r="L21" s="48" t="str" cm="1">
        <f t="array" ref="L21">_xlfn.IFS(OR(I21=1,I21=0),"Fresher",OR(I21=2,I21=3),"Imtermediate",I21&gt;3,"Experienced")</f>
        <v>Fresher</v>
      </c>
      <c r="M21" s="48" t="str" cm="1">
        <f t="array" ref="M21">_xlfn.IFS(J21&lt;70,"Need Improvement",J21&gt;89,"Excellent",J21&gt;79,"Good",J21&gt;69,"Average")</f>
        <v>Excellent</v>
      </c>
      <c r="N21" s="49" t="str" cm="1">
        <f t="array" ref="N21">_xlfn.IFS(H21&gt;499999,"High",H21&gt;399999,"Medium",H21&lt;400000,"Low")</f>
        <v>High</v>
      </c>
      <c r="O21" s="49" cm="1">
        <f t="array" ref="O21">_xlfn.IFS(OR(E21="Naukri",E21="LinkedIn"),2%,E21="Referral",5%,E21="Walk-in",1%)</f>
        <v>0.05</v>
      </c>
      <c r="P21" s="49">
        <v>5</v>
      </c>
      <c r="Q21" s="49">
        <v>2026</v>
      </c>
    </row>
    <row r="22" spans="1:17" ht="15" customHeight="1">
      <c r="A22" s="52">
        <v>5020</v>
      </c>
      <c r="B22" s="53" t="s">
        <v>171</v>
      </c>
      <c r="C22" s="54" t="s">
        <v>17</v>
      </c>
      <c r="D22" s="54" t="s">
        <v>18</v>
      </c>
      <c r="E22" s="53" t="s">
        <v>170</v>
      </c>
      <c r="F22" s="53" t="s">
        <v>168</v>
      </c>
      <c r="G22" s="55">
        <v>46163</v>
      </c>
      <c r="H22" s="56">
        <v>330000</v>
      </c>
      <c r="I22" s="56">
        <v>1</v>
      </c>
      <c r="J22" s="62">
        <v>74</v>
      </c>
      <c r="K22" s="48" t="str">
        <f t="shared" si="0"/>
        <v>Unique</v>
      </c>
      <c r="L22" s="48" t="str" cm="1">
        <f t="array" ref="L22">_xlfn.IFS(OR(I22=1,I22=0),"Fresher",OR(I22=2,I22=3),"Imtermediate",I22&gt;3,"Experienced")</f>
        <v>Fresher</v>
      </c>
      <c r="M22" s="48" t="str" cm="1">
        <f t="array" ref="M22">_xlfn.IFS(J22&lt;70,"Need Improvement",J22&gt;89,"Excellent",J22&gt;79,"Good",J22&gt;69,"Average")</f>
        <v>Average</v>
      </c>
      <c r="N22" s="49" t="str" cm="1">
        <f t="array" ref="N22">_xlfn.IFS(H22&gt;499999,"High",H22&gt;399999,"Medium",H22&lt;400000,"Low")</f>
        <v>Low</v>
      </c>
      <c r="O22" s="49" cm="1">
        <f t="array" ref="O22">_xlfn.IFS(OR(E22="Naukri",E22="LinkedIn"),2%,E22="Referral",5%,E22="Walk-in",1%)</f>
        <v>0.01</v>
      </c>
      <c r="P22" s="49">
        <v>5</v>
      </c>
      <c r="Q22" s="49">
        <v>2026</v>
      </c>
    </row>
    <row r="23" spans="1:17" ht="15" customHeight="1">
      <c r="A23" s="52">
        <v>5021</v>
      </c>
      <c r="B23" s="53" t="s">
        <v>172</v>
      </c>
      <c r="C23" s="54" t="s">
        <v>11</v>
      </c>
      <c r="D23" s="54" t="s">
        <v>28</v>
      </c>
      <c r="E23" s="53" t="s">
        <v>24</v>
      </c>
      <c r="F23" s="53" t="s">
        <v>166</v>
      </c>
      <c r="G23" s="55">
        <v>46170</v>
      </c>
      <c r="H23" s="56">
        <v>460000</v>
      </c>
      <c r="I23" s="56">
        <v>2</v>
      </c>
      <c r="J23" s="62">
        <v>85</v>
      </c>
      <c r="K23" s="48" t="str">
        <f t="shared" si="0"/>
        <v>Unique</v>
      </c>
      <c r="L23" s="48" t="str" cm="1">
        <f t="array" ref="L23">_xlfn.IFS(OR(I23=1,I23=0),"Fresher",OR(I23=2,I23=3),"Imtermediate",I23&gt;3,"Experienced")</f>
        <v>Imtermediate</v>
      </c>
      <c r="M23" s="48" t="str" cm="1">
        <f t="array" ref="M23">_xlfn.IFS(J23&lt;70,"Need Improvement",J23&gt;89,"Excellent",J23&gt;79,"Good",J23&gt;69,"Average")</f>
        <v>Good</v>
      </c>
      <c r="N23" s="49" t="str" cm="1">
        <f t="array" ref="N23">_xlfn.IFS(H23&gt;499999,"High",H23&gt;399999,"Medium",H23&lt;400000,"Low")</f>
        <v>Medium</v>
      </c>
      <c r="O23" s="49" cm="1">
        <f t="array" ref="O23">_xlfn.IFS(OR(E23="Naukri",E23="LinkedIn"),2%,E23="Referral",5%,E23="Walk-in",1%)</f>
        <v>0.02</v>
      </c>
      <c r="P23" s="49">
        <v>5</v>
      </c>
      <c r="Q23" s="49">
        <v>2026</v>
      </c>
    </row>
    <row r="24" spans="1:17" ht="15" customHeight="1">
      <c r="A24" s="52">
        <v>5016</v>
      </c>
      <c r="B24" s="53" t="s">
        <v>48</v>
      </c>
      <c r="C24" s="54" t="s">
        <v>27</v>
      </c>
      <c r="D24" s="54" t="s">
        <v>12</v>
      </c>
      <c r="E24" s="53" t="s">
        <v>167</v>
      </c>
      <c r="F24" s="53" t="s">
        <v>166</v>
      </c>
      <c r="G24" s="55">
        <v>46177</v>
      </c>
      <c r="H24" s="56">
        <v>620000</v>
      </c>
      <c r="I24" s="56">
        <v>4</v>
      </c>
      <c r="J24" s="62">
        <v>94</v>
      </c>
      <c r="K24" s="48" t="str">
        <f t="shared" si="0"/>
        <v>Duplicate</v>
      </c>
      <c r="L24" s="48" t="str" cm="1">
        <f t="array" ref="L24">_xlfn.IFS(OR(I24=1,I24=0),"Fresher",OR(I24=2,I24=3),"Imtermediate",I24&gt;3,"Experienced")</f>
        <v>Experienced</v>
      </c>
      <c r="M24" s="48" t="str" cm="1">
        <f t="array" ref="M24">_xlfn.IFS(J24&lt;70,"Need Improvement",J24&gt;89,"Excellent",J24&gt;79,"Good",J24&gt;69,"Average")</f>
        <v>Excellent</v>
      </c>
      <c r="N24" s="49" t="str" cm="1">
        <f t="array" ref="N24">_xlfn.IFS(H24&gt;499999,"High",H24&gt;399999,"Medium",H24&lt;400000,"Low")</f>
        <v>High</v>
      </c>
      <c r="O24" s="49" cm="1">
        <f t="array" ref="O24">_xlfn.IFS(OR(E24="Naukri",E24="LinkedIn"),2%,E24="Referral",5%,E24="Walk-in",1%)</f>
        <v>0.05</v>
      </c>
      <c r="P24" s="49">
        <v>6</v>
      </c>
      <c r="Q24" s="49">
        <v>2026</v>
      </c>
    </row>
    <row r="25" spans="1:17" ht="15" customHeight="1">
      <c r="A25" s="52">
        <v>5022</v>
      </c>
      <c r="B25" s="53" t="s">
        <v>173</v>
      </c>
      <c r="C25" s="54" t="s">
        <v>11</v>
      </c>
      <c r="D25" s="54" t="s">
        <v>32</v>
      </c>
      <c r="E25" s="53" t="s">
        <v>14</v>
      </c>
      <c r="F25" s="53" t="s">
        <v>25</v>
      </c>
      <c r="G25" s="55">
        <v>46184</v>
      </c>
      <c r="H25" s="56">
        <v>350000</v>
      </c>
      <c r="I25" s="56">
        <v>1</v>
      </c>
      <c r="J25" s="62">
        <v>68</v>
      </c>
      <c r="K25" s="48" t="str">
        <f t="shared" si="0"/>
        <v>Unique</v>
      </c>
      <c r="L25" s="48" t="str" cm="1">
        <f t="array" ref="L25">_xlfn.IFS(OR(I25=1,I25=0),"Fresher",OR(I25=2,I25=3),"Imtermediate",I25&gt;3,"Experienced")</f>
        <v>Fresher</v>
      </c>
      <c r="M25" s="48" t="str" cm="1">
        <f t="array" ref="M25">_xlfn.IFS(J25&lt;70,"Need Improvement",J25&gt;89,"Excellent",J25&gt;79,"Good",J25&gt;69,"Average")</f>
        <v>Need Improvement</v>
      </c>
      <c r="N25" s="49" t="str" cm="1">
        <f t="array" ref="N25">_xlfn.IFS(H25&gt;499999,"High",H25&gt;399999,"Medium",H25&lt;400000,"Low")</f>
        <v>Low</v>
      </c>
      <c r="O25" s="49" cm="1">
        <f t="array" ref="O25">_xlfn.IFS(OR(E25="Naukri",E25="LinkedIn"),2%,E25="Referral",5%,E25="Walk-in",1%)</f>
        <v>0.02</v>
      </c>
      <c r="P25" s="49">
        <v>6</v>
      </c>
      <c r="Q25" s="49">
        <v>2026</v>
      </c>
    </row>
    <row r="26" spans="1:17" ht="15" customHeight="1">
      <c r="A26" s="57">
        <v>5023</v>
      </c>
      <c r="B26" s="58" t="s">
        <v>174</v>
      </c>
      <c r="C26" s="58" t="s">
        <v>38</v>
      </c>
      <c r="D26" s="59" t="s">
        <v>12</v>
      </c>
      <c r="E26" s="58" t="s">
        <v>167</v>
      </c>
      <c r="F26" s="58" t="s">
        <v>166</v>
      </c>
      <c r="G26" s="60">
        <v>46191</v>
      </c>
      <c r="H26" s="61">
        <v>540000</v>
      </c>
      <c r="I26" s="61">
        <v>3</v>
      </c>
      <c r="J26" s="63">
        <v>87</v>
      </c>
      <c r="K26" s="50" t="str">
        <f t="shared" si="0"/>
        <v>Unique</v>
      </c>
      <c r="L26" s="50" t="str" cm="1">
        <f t="array" ref="L26">_xlfn.IFS(OR(I26=1,I26=0),"Fresher",OR(I26=2,I26=3),"Imtermediate",I26&gt;3,"Experienced")</f>
        <v>Imtermediate</v>
      </c>
      <c r="M26" s="50" t="str" cm="1">
        <f t="array" ref="M26">_xlfn.IFS(J26&lt;70,"Need Improvement",J26&gt;89,"Excellent",J26&gt;79,"Good",J26&gt;69,"Average")</f>
        <v>Good</v>
      </c>
      <c r="N26" s="51" t="str" cm="1">
        <f t="array" ref="N26">_xlfn.IFS(H26&gt;499999,"High",H26&gt;399999,"Medium",H26&lt;400000,"Low")</f>
        <v>High</v>
      </c>
      <c r="O26" s="51" cm="1">
        <f t="array" ref="O26">_xlfn.IFS(OR(E26="Naukri",E26="LinkedIn"),2%,E26="Referral",5%,E26="Walk-in",1%)</f>
        <v>0.05</v>
      </c>
      <c r="P26" s="51">
        <v>6</v>
      </c>
      <c r="Q26" s="51">
        <v>2026</v>
      </c>
    </row>
  </sheetData>
  <autoFilter ref="A1:Q26" xr:uid="{4869FB9E-DDB0-42EF-A833-4FB23C7FE164}"/>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15252-1115-4C54-8849-0BA58A662988}">
  <sheetPr>
    <tabColor rgb="FFC198E0"/>
  </sheetPr>
  <dimension ref="A1:H249"/>
  <sheetViews>
    <sheetView workbookViewId="0">
      <selection activeCell="D195" sqref="D195"/>
    </sheetView>
  </sheetViews>
  <sheetFormatPr defaultRowHeight="14.5"/>
  <cols>
    <col min="1" max="1" width="13.6328125" customWidth="1"/>
    <col min="2" max="2" width="12.36328125" bestFit="1" customWidth="1"/>
    <col min="3" max="3" width="13.1796875" customWidth="1"/>
    <col min="4" max="4" width="19.1796875" bestFit="1" customWidth="1"/>
    <col min="5" max="6" width="18.08984375" bestFit="1" customWidth="1"/>
    <col min="7" max="7" width="15.26953125" bestFit="1" customWidth="1"/>
    <col min="8" max="8" width="21.26953125" bestFit="1" customWidth="1"/>
  </cols>
  <sheetData>
    <row r="1" spans="1:1" ht="31">
      <c r="A1" s="6" t="s">
        <v>175</v>
      </c>
    </row>
    <row r="3" spans="1:1" ht="17.5">
      <c r="A3" s="7" t="s">
        <v>53</v>
      </c>
    </row>
    <row r="5" spans="1:1">
      <c r="A5" t="s">
        <v>176</v>
      </c>
    </row>
    <row r="7" spans="1:1">
      <c r="A7" s="11" t="s">
        <v>90</v>
      </c>
    </row>
    <row r="9" spans="1:1">
      <c r="A9" t="s">
        <v>177</v>
      </c>
    </row>
    <row r="10" spans="1:1">
      <c r="A10" s="10"/>
    </row>
    <row r="11" spans="1:1">
      <c r="A11" s="10" t="s">
        <v>178</v>
      </c>
    </row>
    <row r="12" spans="1:1">
      <c r="A12" s="10" t="s">
        <v>179</v>
      </c>
    </row>
    <row r="14" spans="1:1" ht="17.5">
      <c r="A14" s="7" t="s">
        <v>55</v>
      </c>
    </row>
    <row r="16" spans="1:1">
      <c r="A16" t="s">
        <v>71</v>
      </c>
    </row>
    <row r="18" spans="1:5">
      <c r="A18" s="11" t="s">
        <v>180</v>
      </c>
    </row>
    <row r="20" spans="1:5">
      <c r="A20" t="s">
        <v>66</v>
      </c>
    </row>
    <row r="21" spans="1:5">
      <c r="A21" s="10"/>
    </row>
    <row r="22" spans="1:5">
      <c r="A22" s="10" t="s">
        <v>181</v>
      </c>
    </row>
    <row r="23" spans="1:5">
      <c r="A23" s="10" t="s">
        <v>182</v>
      </c>
    </row>
    <row r="24" spans="1:5">
      <c r="A24" s="10" t="s">
        <v>183</v>
      </c>
    </row>
    <row r="26" spans="1:5" ht="17.5">
      <c r="A26" s="7" t="s">
        <v>57</v>
      </c>
    </row>
    <row r="28" spans="1:5">
      <c r="A28" t="s">
        <v>184</v>
      </c>
      <c r="E28" s="25" t="s">
        <v>248</v>
      </c>
    </row>
    <row r="30" spans="1:5">
      <c r="A30" t="s">
        <v>185</v>
      </c>
    </row>
    <row r="34" spans="1:1" ht="31">
      <c r="A34" s="6" t="s">
        <v>186</v>
      </c>
    </row>
    <row r="36" spans="1:1" ht="17.5">
      <c r="A36" s="7" t="s">
        <v>59</v>
      </c>
    </row>
    <row r="38" spans="1:1">
      <c r="A38" t="s">
        <v>71</v>
      </c>
    </row>
    <row r="40" spans="1:1">
      <c r="A40" s="11" t="s">
        <v>187</v>
      </c>
    </row>
    <row r="42" spans="1:1">
      <c r="A42" t="s">
        <v>66</v>
      </c>
    </row>
    <row r="43" spans="1:1">
      <c r="A43" s="10"/>
    </row>
    <row r="44" spans="1:1">
      <c r="A44" s="10" t="s">
        <v>188</v>
      </c>
    </row>
    <row r="45" spans="1:1">
      <c r="A45" s="10" t="s">
        <v>189</v>
      </c>
    </row>
    <row r="46" spans="1:1">
      <c r="A46" s="10" t="s">
        <v>190</v>
      </c>
    </row>
    <row r="47" spans="1:1">
      <c r="A47" s="10" t="s">
        <v>191</v>
      </c>
    </row>
    <row r="49" spans="1:1" ht="17.5">
      <c r="A49" s="7" t="s">
        <v>61</v>
      </c>
    </row>
    <row r="51" spans="1:1">
      <c r="A51" t="s">
        <v>71</v>
      </c>
    </row>
    <row r="53" spans="1:1">
      <c r="A53" s="11" t="s">
        <v>72</v>
      </c>
    </row>
    <row r="55" spans="1:1">
      <c r="A55" t="s">
        <v>66</v>
      </c>
    </row>
    <row r="56" spans="1:1">
      <c r="A56" s="10"/>
    </row>
    <row r="57" spans="1:1">
      <c r="A57" s="10" t="s">
        <v>192</v>
      </c>
    </row>
    <row r="58" spans="1:1">
      <c r="A58" s="10" t="s">
        <v>193</v>
      </c>
    </row>
    <row r="59" spans="1:1">
      <c r="A59" s="10" t="s">
        <v>194</v>
      </c>
    </row>
    <row r="61" spans="1:1" ht="17.5">
      <c r="A61" s="7" t="s">
        <v>63</v>
      </c>
    </row>
    <row r="63" spans="1:1">
      <c r="A63" t="s">
        <v>71</v>
      </c>
    </row>
    <row r="65" spans="1:4">
      <c r="A65" s="11" t="s">
        <v>83</v>
      </c>
    </row>
    <row r="67" spans="1:4">
      <c r="A67" t="s">
        <v>66</v>
      </c>
    </row>
    <row r="68" spans="1:4">
      <c r="A68" s="10"/>
    </row>
    <row r="69" spans="1:4">
      <c r="A69" s="10" t="s">
        <v>195</v>
      </c>
    </row>
    <row r="70" spans="1:4">
      <c r="A70" s="10" t="s">
        <v>196</v>
      </c>
    </row>
    <row r="71" spans="1:4">
      <c r="A71" s="10" t="s">
        <v>197</v>
      </c>
    </row>
    <row r="72" spans="1:4">
      <c r="A72" s="10" t="s">
        <v>198</v>
      </c>
    </row>
    <row r="76" spans="1:4" ht="31">
      <c r="A76" s="6" t="s">
        <v>199</v>
      </c>
    </row>
    <row r="78" spans="1:4" ht="17.5">
      <c r="A78" s="7" t="s">
        <v>69</v>
      </c>
    </row>
    <row r="80" spans="1:4">
      <c r="A80" t="s">
        <v>200</v>
      </c>
      <c r="D80" s="25">
        <f>COUNTIFS('Data Copy'!K2:K26,'Data Copy'!$K$2,'Data Copy'!C2:C26,'Data Copy'!$C$2)</f>
        <v>11</v>
      </c>
    </row>
    <row r="82" spans="1:5" ht="17.5">
      <c r="A82" s="7" t="s">
        <v>81</v>
      </c>
    </row>
    <row r="84" spans="1:5">
      <c r="A84" t="s">
        <v>201</v>
      </c>
      <c r="E84" s="25">
        <f>COUNTIFS('Data Copy'!K2:K26,'Data Copy'!$K$2,'Data Copy'!C2:C26,'Data Copy'!$C$2,'Data Copy'!D2:D26,'Data Copy'!$D$2)</f>
        <v>3</v>
      </c>
    </row>
    <row r="86" spans="1:5" ht="17.5">
      <c r="A86" s="7" t="s">
        <v>88</v>
      </c>
    </row>
    <row r="88" spans="1:5">
      <c r="A88" t="s">
        <v>202</v>
      </c>
    </row>
    <row r="90" spans="1:5">
      <c r="A90" s="9" t="s">
        <v>203</v>
      </c>
      <c r="C90" s="25">
        <f>COUNTIFS('Data Copy'!K2:K26,'Data Copy'!$K$2,'Data Copy'!C2:C26,'Data Copy'!$C$2,'Data Copy'!F2:F26,'Data Copy'!$F$2)</f>
        <v>7</v>
      </c>
    </row>
    <row r="92" spans="1:5" ht="17.5">
      <c r="A92" s="7" t="s">
        <v>92</v>
      </c>
    </row>
    <row r="94" spans="1:5">
      <c r="A94" t="s">
        <v>204</v>
      </c>
      <c r="E94" s="25">
        <f>COUNTIFS('Data Copy'!K2:K26,'Data Copy'!$K$2,'Data Copy'!E2:E26,'Data Copy'!$E$3,'Data Copy'!F2:F26,'Data Copy'!$F$2)</f>
        <v>4</v>
      </c>
    </row>
    <row r="96" spans="1:5" ht="17.5">
      <c r="A96" s="7" t="s">
        <v>103</v>
      </c>
    </row>
    <row r="98" spans="1:4">
      <c r="A98" t="s">
        <v>205</v>
      </c>
      <c r="D98" s="25">
        <f>COUNTIF('Data Copy'!J2:J26,"&gt;=85")</f>
        <v>11</v>
      </c>
    </row>
    <row r="102" spans="1:4" ht="31">
      <c r="A102" s="6" t="s">
        <v>206</v>
      </c>
    </row>
    <row r="104" spans="1:4" ht="17.5">
      <c r="A104" s="7" t="s">
        <v>107</v>
      </c>
    </row>
    <row r="106" spans="1:4">
      <c r="A106" t="s">
        <v>207</v>
      </c>
      <c r="D106" s="27">
        <f>SUM('Data Copy'!H2:H26)</f>
        <v>11170000</v>
      </c>
    </row>
    <row r="108" spans="1:4" ht="17.5">
      <c r="A108" s="7" t="s">
        <v>113</v>
      </c>
    </row>
    <row r="110" spans="1:4">
      <c r="A110" t="s">
        <v>208</v>
      </c>
      <c r="D110" s="25">
        <f>SUMIF('Data Copy'!C2:C26,'Data Copy'!$C$2,'Data Copy'!H2:H26)</f>
        <v>5250000</v>
      </c>
    </row>
    <row r="112" spans="1:4" ht="17.5">
      <c r="A112" s="7" t="s">
        <v>115</v>
      </c>
    </row>
    <row r="114" spans="1:5">
      <c r="A114" t="s">
        <v>209</v>
      </c>
      <c r="E114" s="25">
        <f>SUMIFS('Data Copy'!H2:H26,'Data Copy'!D2:D26,'Data Copy'!$D$2,'Data Copy'!F2:F26,'Data Copy'!$F$2)</f>
        <v>5430000</v>
      </c>
    </row>
    <row r="116" spans="1:5" ht="17.5">
      <c r="A116" s="7" t="s">
        <v>117</v>
      </c>
    </row>
    <row r="118" spans="1:5">
      <c r="A118" t="s">
        <v>210</v>
      </c>
      <c r="D118" s="25">
        <f>AVERAGEIF('Data Copy'!C2:C26,'Data Copy'!$C$2,'Data Copy'!H2:H26)</f>
        <v>403846.15384615387</v>
      </c>
    </row>
    <row r="120" spans="1:5" ht="17.5">
      <c r="A120" s="7" t="s">
        <v>120</v>
      </c>
    </row>
    <row r="122" spans="1:5">
      <c r="A122" t="s">
        <v>211</v>
      </c>
      <c r="E122" s="25">
        <f>AVERAGEIF('Data Copy'!D2:D26,'Data Copy'!$D$2,'Data Copy'!J2:J26)</f>
        <v>89.8</v>
      </c>
    </row>
    <row r="126" spans="1:5" ht="31">
      <c r="A126" s="6" t="s">
        <v>212</v>
      </c>
    </row>
    <row r="128" spans="1:5" ht="17.5">
      <c r="A128" s="7" t="s">
        <v>122</v>
      </c>
    </row>
    <row r="130" spans="1:1">
      <c r="A130" t="s">
        <v>71</v>
      </c>
    </row>
    <row r="132" spans="1:1">
      <c r="A132" s="11" t="s">
        <v>213</v>
      </c>
    </row>
    <row r="134" spans="1:1">
      <c r="A134" t="s">
        <v>214</v>
      </c>
    </row>
    <row r="136" spans="1:1" ht="17.5">
      <c r="A136" s="7" t="s">
        <v>127</v>
      </c>
    </row>
    <row r="138" spans="1:1">
      <c r="A138" t="s">
        <v>71</v>
      </c>
    </row>
    <row r="140" spans="1:1">
      <c r="A140" s="11" t="s">
        <v>215</v>
      </c>
    </row>
    <row r="142" spans="1:1">
      <c r="A142" t="s">
        <v>216</v>
      </c>
    </row>
    <row r="144" spans="1:1" ht="17.5">
      <c r="A144" s="7" t="s">
        <v>131</v>
      </c>
    </row>
    <row r="146" spans="1:6">
      <c r="A146" t="s">
        <v>217</v>
      </c>
      <c r="D146" s="25">
        <f>COUNTIFS(_xlfn.ANCHORARRAY('Data Copy'!Q2),'Data Copy'!$Q$2,_xlfn.ANCHORARRAY('Data Copy'!P2),'Data Copy'!$P$15)</f>
        <v>5</v>
      </c>
    </row>
    <row r="150" spans="1:6" ht="31">
      <c r="A150" s="6" t="s">
        <v>218</v>
      </c>
    </row>
    <row r="152" spans="1:6" ht="17.5">
      <c r="A152" s="7" t="s">
        <v>137</v>
      </c>
    </row>
    <row r="154" spans="1:6">
      <c r="A154" t="s">
        <v>219</v>
      </c>
      <c r="E154" s="25" t="s">
        <v>251</v>
      </c>
      <c r="F154" s="25"/>
    </row>
    <row r="156" spans="1:6" ht="31">
      <c r="A156" s="6" t="s">
        <v>220</v>
      </c>
    </row>
    <row r="158" spans="1:6" ht="17.5">
      <c r="A158" s="7" t="s">
        <v>221</v>
      </c>
    </row>
    <row r="160" spans="1:6">
      <c r="A160" t="s">
        <v>222</v>
      </c>
    </row>
    <row r="161" spans="1:5">
      <c r="A161" s="10"/>
    </row>
    <row r="162" spans="1:5">
      <c r="A162" s="10" t="s">
        <v>223</v>
      </c>
    </row>
    <row r="163" spans="1:5">
      <c r="A163" s="10" t="s">
        <v>224</v>
      </c>
    </row>
    <row r="164" spans="1:5">
      <c r="A164" s="10" t="s">
        <v>225</v>
      </c>
    </row>
    <row r="165" spans="1:5">
      <c r="A165" s="10" t="s">
        <v>226</v>
      </c>
    </row>
    <row r="166" spans="1:5">
      <c r="A166" s="10"/>
    </row>
    <row r="167" spans="1:5">
      <c r="A167" s="10"/>
      <c r="B167" s="23" t="s">
        <v>160</v>
      </c>
      <c r="C167" s="24" t="s">
        <v>164</v>
      </c>
      <c r="D167" s="23" t="s">
        <v>163</v>
      </c>
      <c r="E167" s="70" t="s">
        <v>6</v>
      </c>
    </row>
    <row r="168" spans="1:5">
      <c r="A168" s="10"/>
      <c r="B168" s="64">
        <v>5001</v>
      </c>
      <c r="C168" s="65">
        <v>82</v>
      </c>
      <c r="D168" s="66">
        <v>420000</v>
      </c>
      <c r="E168" s="71" t="s">
        <v>166</v>
      </c>
    </row>
    <row r="169" spans="1:5">
      <c r="A169" s="10"/>
      <c r="B169" s="64">
        <v>5002</v>
      </c>
      <c r="C169" s="65">
        <v>76</v>
      </c>
      <c r="D169" s="66">
        <v>380000</v>
      </c>
      <c r="E169" s="71" t="s">
        <v>166</v>
      </c>
    </row>
    <row r="170" spans="1:5">
      <c r="A170" s="10"/>
      <c r="B170" s="64">
        <v>5003</v>
      </c>
      <c r="C170" s="65">
        <v>88</v>
      </c>
      <c r="D170" s="66">
        <v>350000</v>
      </c>
      <c r="E170" s="71" t="s">
        <v>168</v>
      </c>
    </row>
    <row r="171" spans="1:5">
      <c r="B171" s="64">
        <v>5004</v>
      </c>
      <c r="C171" s="65">
        <v>91</v>
      </c>
      <c r="D171" s="66">
        <v>550000</v>
      </c>
      <c r="E171" s="71" t="s">
        <v>166</v>
      </c>
    </row>
    <row r="172" spans="1:5">
      <c r="A172" s="9"/>
      <c r="B172" s="64">
        <v>5005</v>
      </c>
      <c r="C172" s="65">
        <v>69</v>
      </c>
      <c r="D172" s="66">
        <v>400000</v>
      </c>
      <c r="E172" s="71" t="s">
        <v>25</v>
      </c>
    </row>
    <row r="173" spans="1:5">
      <c r="A173" s="10"/>
      <c r="B173" s="64">
        <v>5006</v>
      </c>
      <c r="C173" s="65">
        <v>95</v>
      </c>
      <c r="D173" s="66">
        <v>600000</v>
      </c>
      <c r="E173" s="71" t="s">
        <v>166</v>
      </c>
    </row>
    <row r="174" spans="1:5">
      <c r="A174" s="10"/>
      <c r="B174" s="64">
        <v>5007</v>
      </c>
      <c r="C174" s="65">
        <v>73</v>
      </c>
      <c r="D174" s="66">
        <v>320000</v>
      </c>
      <c r="E174" s="71" t="s">
        <v>168</v>
      </c>
    </row>
    <row r="175" spans="1:5">
      <c r="A175" s="10"/>
      <c r="B175" s="64">
        <v>5008</v>
      </c>
      <c r="C175" s="65">
        <v>84</v>
      </c>
      <c r="D175" s="66">
        <v>480000</v>
      </c>
      <c r="E175" s="71" t="s">
        <v>166</v>
      </c>
    </row>
    <row r="176" spans="1:5">
      <c r="A176" s="10"/>
      <c r="B176" s="64">
        <v>5009</v>
      </c>
      <c r="C176" s="65">
        <v>79</v>
      </c>
      <c r="D176" s="66">
        <v>390000</v>
      </c>
      <c r="E176" s="71" t="s">
        <v>166</v>
      </c>
    </row>
    <row r="177" spans="2:5">
      <c r="B177" s="64">
        <v>5010</v>
      </c>
      <c r="C177" s="65">
        <v>71</v>
      </c>
      <c r="D177" s="66">
        <v>450000</v>
      </c>
      <c r="E177" s="71" t="s">
        <v>25</v>
      </c>
    </row>
    <row r="178" spans="2:5">
      <c r="B178" s="64">
        <v>5011</v>
      </c>
      <c r="C178" s="65">
        <v>89</v>
      </c>
      <c r="D178" s="66">
        <v>520000</v>
      </c>
      <c r="E178" s="71" t="s">
        <v>166</v>
      </c>
    </row>
    <row r="179" spans="2:5">
      <c r="B179" s="64">
        <v>5012</v>
      </c>
      <c r="C179" s="65">
        <v>67</v>
      </c>
      <c r="D179" s="66">
        <v>340000</v>
      </c>
      <c r="E179" s="71" t="s">
        <v>168</v>
      </c>
    </row>
    <row r="180" spans="2:5">
      <c r="B180" s="64">
        <v>5013</v>
      </c>
      <c r="C180" s="65">
        <v>86</v>
      </c>
      <c r="D180" s="66">
        <v>410000</v>
      </c>
      <c r="E180" s="71" t="s">
        <v>166</v>
      </c>
    </row>
    <row r="181" spans="2:5">
      <c r="B181" s="64">
        <v>5014</v>
      </c>
      <c r="C181" s="65">
        <v>92</v>
      </c>
      <c r="D181" s="66">
        <v>580000</v>
      </c>
      <c r="E181" s="71" t="s">
        <v>166</v>
      </c>
    </row>
    <row r="182" spans="2:5">
      <c r="B182" s="64">
        <v>5005</v>
      </c>
      <c r="C182" s="65">
        <v>69</v>
      </c>
      <c r="D182" s="66">
        <v>400000</v>
      </c>
      <c r="E182" s="71" t="s">
        <v>25</v>
      </c>
    </row>
    <row r="183" spans="2:5">
      <c r="B183" s="64">
        <v>5015</v>
      </c>
      <c r="C183" s="65">
        <v>81</v>
      </c>
      <c r="D183" s="66">
        <v>370000</v>
      </c>
      <c r="E183" s="71" t="s">
        <v>168</v>
      </c>
    </row>
    <row r="184" spans="2:5">
      <c r="B184" s="64">
        <v>5016</v>
      </c>
      <c r="C184" s="65">
        <v>94</v>
      </c>
      <c r="D184" s="66">
        <v>620000</v>
      </c>
      <c r="E184" s="71" t="s">
        <v>166</v>
      </c>
    </row>
    <row r="185" spans="2:5">
      <c r="B185" s="64">
        <v>5017</v>
      </c>
      <c r="C185" s="65">
        <v>77</v>
      </c>
      <c r="D185" s="66">
        <v>360000</v>
      </c>
      <c r="E185" s="71" t="s">
        <v>166</v>
      </c>
    </row>
    <row r="186" spans="2:5">
      <c r="B186" s="64">
        <v>5018</v>
      </c>
      <c r="C186" s="65">
        <v>72</v>
      </c>
      <c r="D186" s="66">
        <v>430000</v>
      </c>
      <c r="E186" s="71" t="s">
        <v>25</v>
      </c>
    </row>
    <row r="187" spans="2:5">
      <c r="B187" s="64">
        <v>5019</v>
      </c>
      <c r="C187" s="65">
        <v>90</v>
      </c>
      <c r="D187" s="66">
        <v>500000</v>
      </c>
      <c r="E187" s="71" t="s">
        <v>166</v>
      </c>
    </row>
    <row r="188" spans="2:5">
      <c r="B188" s="64">
        <v>5020</v>
      </c>
      <c r="C188" s="65">
        <v>74</v>
      </c>
      <c r="D188" s="66">
        <v>330000</v>
      </c>
      <c r="E188" s="71" t="s">
        <v>168</v>
      </c>
    </row>
    <row r="189" spans="2:5">
      <c r="B189" s="64">
        <v>5021</v>
      </c>
      <c r="C189" s="65">
        <v>85</v>
      </c>
      <c r="D189" s="66">
        <v>460000</v>
      </c>
      <c r="E189" s="71" t="s">
        <v>166</v>
      </c>
    </row>
    <row r="190" spans="2:5">
      <c r="B190" s="64">
        <v>5016</v>
      </c>
      <c r="C190" s="65">
        <v>94</v>
      </c>
      <c r="D190" s="66">
        <v>620000</v>
      </c>
      <c r="E190" s="71" t="s">
        <v>166</v>
      </c>
    </row>
    <row r="191" spans="2:5">
      <c r="B191" s="64">
        <v>5022</v>
      </c>
      <c r="C191" s="65">
        <v>68</v>
      </c>
      <c r="D191" s="66">
        <v>350000</v>
      </c>
      <c r="E191" s="71" t="s">
        <v>25</v>
      </c>
    </row>
    <row r="192" spans="2:5">
      <c r="B192" s="67">
        <v>5023</v>
      </c>
      <c r="C192" s="68">
        <v>87</v>
      </c>
      <c r="D192" s="69">
        <v>540000</v>
      </c>
      <c r="E192" s="84" t="s">
        <v>166</v>
      </c>
    </row>
    <row r="197" spans="1:8" ht="31">
      <c r="A197" s="6" t="s">
        <v>227</v>
      </c>
    </row>
    <row r="198" spans="1:8">
      <c r="E198" s="12" t="s">
        <v>143</v>
      </c>
      <c r="F198" t="s">
        <v>231</v>
      </c>
      <c r="G198" t="s">
        <v>232</v>
      </c>
      <c r="H198" t="s">
        <v>233</v>
      </c>
    </row>
    <row r="199" spans="1:8" ht="17.5">
      <c r="A199" s="7" t="s">
        <v>156</v>
      </c>
      <c r="E199" s="13" t="s">
        <v>11</v>
      </c>
      <c r="F199">
        <v>13</v>
      </c>
      <c r="G199">
        <v>403846.15384615387</v>
      </c>
      <c r="H199">
        <v>79.692307692307693</v>
      </c>
    </row>
    <row r="200" spans="1:8">
      <c r="E200" s="14" t="s">
        <v>28</v>
      </c>
      <c r="F200">
        <v>4</v>
      </c>
      <c r="G200">
        <v>417500</v>
      </c>
      <c r="H200">
        <v>77.25</v>
      </c>
    </row>
    <row r="201" spans="1:8">
      <c r="A201" t="s">
        <v>228</v>
      </c>
      <c r="E201" s="14" t="s">
        <v>18</v>
      </c>
      <c r="F201">
        <v>3</v>
      </c>
      <c r="G201">
        <v>370000</v>
      </c>
      <c r="H201">
        <v>82.666666666666671</v>
      </c>
    </row>
    <row r="202" spans="1:8">
      <c r="E202" s="14" t="s">
        <v>12</v>
      </c>
      <c r="F202">
        <v>3</v>
      </c>
      <c r="G202">
        <v>480000</v>
      </c>
      <c r="H202">
        <v>87</v>
      </c>
    </row>
    <row r="203" spans="1:8">
      <c r="A203" s="9" t="s">
        <v>229</v>
      </c>
      <c r="E203" s="14" t="s">
        <v>32</v>
      </c>
      <c r="F203">
        <v>3</v>
      </c>
      <c r="G203">
        <v>343333.33333333331</v>
      </c>
      <c r="H203">
        <v>72.666666666666671</v>
      </c>
    </row>
    <row r="204" spans="1:8">
      <c r="A204" s="10"/>
      <c r="E204" s="13" t="s">
        <v>17</v>
      </c>
      <c r="F204">
        <v>4</v>
      </c>
      <c r="G204">
        <v>442500</v>
      </c>
      <c r="H204">
        <v>81.5</v>
      </c>
    </row>
    <row r="205" spans="1:8">
      <c r="A205" s="10" t="s">
        <v>2</v>
      </c>
      <c r="E205" s="14" t="s">
        <v>28</v>
      </c>
      <c r="F205">
        <v>1</v>
      </c>
      <c r="G205">
        <v>380000</v>
      </c>
      <c r="H205">
        <v>76</v>
      </c>
    </row>
    <row r="206" spans="1:8">
      <c r="A206" s="10" t="s">
        <v>3</v>
      </c>
      <c r="E206" s="14" t="s">
        <v>18</v>
      </c>
      <c r="F206">
        <v>1</v>
      </c>
      <c r="G206">
        <v>330000</v>
      </c>
      <c r="H206">
        <v>74</v>
      </c>
    </row>
    <row r="207" spans="1:8">
      <c r="E207" s="14" t="s">
        <v>12</v>
      </c>
      <c r="F207">
        <v>2</v>
      </c>
      <c r="G207">
        <v>530000</v>
      </c>
      <c r="H207">
        <v>88</v>
      </c>
    </row>
    <row r="208" spans="1:8">
      <c r="A208" s="9" t="s">
        <v>230</v>
      </c>
      <c r="E208" s="13" t="s">
        <v>27</v>
      </c>
      <c r="F208">
        <v>4</v>
      </c>
      <c r="G208">
        <v>560000</v>
      </c>
      <c r="H208">
        <v>87.5</v>
      </c>
    </row>
    <row r="209" spans="1:8">
      <c r="A209" s="10"/>
      <c r="E209" s="14" t="s">
        <v>28</v>
      </c>
      <c r="F209">
        <v>1</v>
      </c>
      <c r="G209">
        <v>450000</v>
      </c>
      <c r="H209">
        <v>71</v>
      </c>
    </row>
    <row r="210" spans="1:8">
      <c r="A210" s="10" t="s">
        <v>231</v>
      </c>
      <c r="E210" s="14" t="s">
        <v>12</v>
      </c>
      <c r="F210">
        <v>3</v>
      </c>
      <c r="G210">
        <v>596666.66666666663</v>
      </c>
      <c r="H210">
        <v>93</v>
      </c>
    </row>
    <row r="211" spans="1:8">
      <c r="A211" s="10" t="s">
        <v>232</v>
      </c>
      <c r="E211" s="13" t="s">
        <v>38</v>
      </c>
      <c r="F211">
        <v>4</v>
      </c>
      <c r="G211">
        <v>477500</v>
      </c>
      <c r="H211">
        <v>80.25</v>
      </c>
    </row>
    <row r="212" spans="1:8">
      <c r="A212" s="10" t="s">
        <v>233</v>
      </c>
      <c r="E212" s="14" t="s">
        <v>28</v>
      </c>
      <c r="F212">
        <v>1</v>
      </c>
      <c r="G212">
        <v>430000</v>
      </c>
      <c r="H212">
        <v>72</v>
      </c>
    </row>
    <row r="213" spans="1:8">
      <c r="E213" s="14" t="s">
        <v>12</v>
      </c>
      <c r="F213">
        <v>2</v>
      </c>
      <c r="G213">
        <v>570000</v>
      </c>
      <c r="H213">
        <v>91</v>
      </c>
    </row>
    <row r="214" spans="1:8" ht="17.5">
      <c r="A214" s="7" t="s">
        <v>234</v>
      </c>
      <c r="E214" s="14" t="s">
        <v>32</v>
      </c>
      <c r="F214">
        <v>1</v>
      </c>
      <c r="G214">
        <v>340000</v>
      </c>
      <c r="H214">
        <v>67</v>
      </c>
    </row>
    <row r="215" spans="1:8">
      <c r="E215" s="13" t="s">
        <v>144</v>
      </c>
      <c r="F215">
        <v>25</v>
      </c>
      <c r="G215">
        <v>446800</v>
      </c>
      <c r="H215">
        <v>81.319999999999993</v>
      </c>
    </row>
    <row r="216" spans="1:8">
      <c r="A216" t="s">
        <v>235</v>
      </c>
    </row>
    <row r="217" spans="1:8">
      <c r="A217" s="10"/>
    </row>
    <row r="218" spans="1:8">
      <c r="A218" s="10" t="s">
        <v>236</v>
      </c>
    </row>
    <row r="219" spans="1:8">
      <c r="C219" s="12" t="s">
        <v>143</v>
      </c>
      <c r="D219" t="s">
        <v>231</v>
      </c>
    </row>
    <row r="220" spans="1:8">
      <c r="C220" s="13" t="s">
        <v>11</v>
      </c>
      <c r="D220">
        <v>3</v>
      </c>
    </row>
    <row r="221" spans="1:8">
      <c r="C221" s="14" t="s">
        <v>12</v>
      </c>
      <c r="D221">
        <v>3</v>
      </c>
    </row>
    <row r="222" spans="1:8">
      <c r="C222" s="13" t="s">
        <v>144</v>
      </c>
      <c r="D222">
        <v>3</v>
      </c>
    </row>
    <row r="225" spans="1:3" ht="17.5">
      <c r="A225" s="7" t="s">
        <v>237</v>
      </c>
    </row>
    <row r="226" spans="1:3">
      <c r="A226" s="10" t="s">
        <v>238</v>
      </c>
    </row>
    <row r="227" spans="1:3">
      <c r="B227" s="12" t="s">
        <v>2</v>
      </c>
      <c r="C227" t="s">
        <v>11</v>
      </c>
    </row>
    <row r="228" spans="1:3">
      <c r="A228" s="10"/>
    </row>
    <row r="229" spans="1:3">
      <c r="B229" s="12" t="s">
        <v>143</v>
      </c>
      <c r="C229" t="s">
        <v>232</v>
      </c>
    </row>
    <row r="230" spans="1:3">
      <c r="B230" s="13" t="s">
        <v>28</v>
      </c>
      <c r="C230">
        <v>417500</v>
      </c>
    </row>
    <row r="231" spans="1:3">
      <c r="B231" s="13" t="s">
        <v>144</v>
      </c>
      <c r="C231">
        <v>417500</v>
      </c>
    </row>
    <row r="233" spans="1:3" ht="31">
      <c r="A233" s="6" t="s">
        <v>239</v>
      </c>
    </row>
    <row r="235" spans="1:3">
      <c r="A235" t="s">
        <v>240</v>
      </c>
    </row>
    <row r="237" spans="1:3">
      <c r="A237" s="3" t="s">
        <v>147</v>
      </c>
    </row>
    <row r="238" spans="1:3" ht="29">
      <c r="A238" s="72" t="s">
        <v>241</v>
      </c>
      <c r="B238" s="73">
        <f>COUNTA(_xlfn.UNIQUE('Data Copy'!A2:A26,FALSE,FALSE))</f>
        <v>23</v>
      </c>
    </row>
    <row r="239" spans="1:3">
      <c r="A239" s="72" t="s">
        <v>166</v>
      </c>
      <c r="B239" s="73">
        <f>COUNTIF('Data Copy'!$F$2:$F$26,'Data Copy'!$F$2)</f>
        <v>15</v>
      </c>
    </row>
    <row r="240" spans="1:3">
      <c r="A240" s="72" t="s">
        <v>168</v>
      </c>
      <c r="B240" s="73">
        <f>COUNTIF('Data Copy'!$F$2:$F$26,'Data Copy'!$F$4)</f>
        <v>5</v>
      </c>
    </row>
    <row r="241" spans="1:2">
      <c r="A241" s="72" t="s">
        <v>25</v>
      </c>
      <c r="B241" s="73">
        <f>COUNTIF('Data Copy'!$F$2:$F$26,'Data Copy'!$F$6)</f>
        <v>5</v>
      </c>
    </row>
    <row r="242" spans="1:2" ht="29">
      <c r="A242" s="72" t="s">
        <v>242</v>
      </c>
      <c r="B242" s="73">
        <f>COUNTIF('Data Copy'!C2:C26,'Data Copy'!$C$2)</f>
        <v>13</v>
      </c>
    </row>
    <row r="243" spans="1:2">
      <c r="A243" s="72" t="s">
        <v>243</v>
      </c>
      <c r="B243" s="73">
        <f>COUNTIF('Data Copy'!D2:D26,'Data Copy'!$D$2)</f>
        <v>10</v>
      </c>
    </row>
    <row r="244" spans="1:2">
      <c r="A244" s="72" t="s">
        <v>244</v>
      </c>
      <c r="B244" s="73">
        <f>COUNTIF('Data Copy'!E2:E26,'Data Copy'!$E$26)</f>
        <v>9</v>
      </c>
    </row>
    <row r="245" spans="1:2">
      <c r="A245" s="72" t="s">
        <v>245</v>
      </c>
      <c r="B245" s="74">
        <f>AVERAGE('Data Copy'!H2:H26)</f>
        <v>446800</v>
      </c>
    </row>
    <row r="246" spans="1:2" ht="29">
      <c r="A246" s="72" t="s">
        <v>246</v>
      </c>
      <c r="B246" s="74">
        <f>AVERAGE('Data Copy'!J2:J26)</f>
        <v>81.319999999999993</v>
      </c>
    </row>
    <row r="247" spans="1:2" ht="29">
      <c r="A247" s="72" t="s">
        <v>247</v>
      </c>
      <c r="B247" s="73">
        <f>COUNTIF('Data Copy'!K2:K26,'Data Copy'!$K$16)</f>
        <v>4</v>
      </c>
    </row>
    <row r="249" spans="1:2" ht="17.5">
      <c r="A249" s="7"/>
    </row>
  </sheetData>
  <conditionalFormatting sqref="B168:B192">
    <cfRule type="duplicateValues" dxfId="4" priority="1"/>
  </conditionalFormatting>
  <conditionalFormatting sqref="C168:C192">
    <cfRule type="cellIs" dxfId="3" priority="5" operator="greaterThan">
      <formula>89</formula>
    </cfRule>
  </conditionalFormatting>
  <conditionalFormatting sqref="D168:D192">
    <cfRule type="cellIs" dxfId="2" priority="2" operator="greaterThan">
      <formula>499999</formula>
    </cfRule>
    <cfRule type="cellIs" dxfId="1" priority="3" operator="greaterThan">
      <formula>499999</formula>
    </cfRule>
  </conditionalFormatting>
  <conditionalFormatting sqref="E168:E192">
    <cfRule type="cellIs" dxfId="0" priority="4" operator="equal">
      <formula>"Rejected"</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3D85E-107B-4F3B-B51B-9C7B6351E349}">
  <dimension ref="A1:J26"/>
  <sheetViews>
    <sheetView workbookViewId="0">
      <selection activeCell="B12" sqref="B12"/>
    </sheetView>
  </sheetViews>
  <sheetFormatPr defaultColWidth="11.453125" defaultRowHeight="14.5"/>
  <sheetData>
    <row r="1" spans="1:10">
      <c r="A1" s="147" t="s">
        <v>249</v>
      </c>
      <c r="B1" s="147"/>
      <c r="C1" s="147"/>
      <c r="D1" s="3"/>
      <c r="E1" s="3"/>
      <c r="F1" s="3"/>
      <c r="G1" s="3"/>
      <c r="H1" s="2"/>
      <c r="I1" s="2"/>
      <c r="J1" s="3"/>
    </row>
    <row r="2" spans="1:10">
      <c r="A2" s="29" t="s">
        <v>2</v>
      </c>
      <c r="B2" s="29" t="s">
        <v>3</v>
      </c>
      <c r="C2" s="29" t="s">
        <v>6</v>
      </c>
      <c r="D2" s="4"/>
      <c r="E2" s="4"/>
      <c r="F2" s="4"/>
      <c r="G2" s="5"/>
      <c r="H2" s="1"/>
      <c r="I2" s="1"/>
      <c r="J2" s="4"/>
    </row>
    <row r="3" spans="1:10">
      <c r="A3" s="30" t="str" cm="1">
        <f t="array" ref="A3:A6">_xlfn.UNIQUE('Data Copy'!C2:C26,FALSE,FALSE)</f>
        <v>Bangalore</v>
      </c>
      <c r="B3" s="31" t="str" cm="1">
        <f t="array" ref="B3:B6">_xlfn.UNIQUE('Data Copy'!D2:D26,FALSE,FALSE)</f>
        <v>IT</v>
      </c>
      <c r="C3" s="31" t="str" cm="1">
        <f t="array" ref="C3:C5">_xlfn.UNIQUE('Data Copy'!F2:F26)</f>
        <v>Joined</v>
      </c>
      <c r="D3" s="4"/>
      <c r="E3" s="4"/>
      <c r="F3" s="4"/>
      <c r="G3" s="5"/>
      <c r="H3" s="1"/>
      <c r="I3" s="1"/>
      <c r="J3" s="4"/>
    </row>
    <row r="4" spans="1:10">
      <c r="A4" s="30" t="str">
        <v>Chennai</v>
      </c>
      <c r="B4" s="31" t="str">
        <v>Finance</v>
      </c>
      <c r="C4" s="31" t="str">
        <v>Pending</v>
      </c>
      <c r="D4" s="4"/>
      <c r="E4" s="4"/>
      <c r="F4" s="4"/>
      <c r="G4" s="5"/>
      <c r="H4" s="1"/>
      <c r="I4" s="1"/>
      <c r="J4" s="4"/>
    </row>
    <row r="5" spans="1:10">
      <c r="A5" s="30" t="str">
        <v>Hyderabad</v>
      </c>
      <c r="B5" s="31" t="str">
        <v>HR</v>
      </c>
      <c r="C5" s="31" t="str">
        <v>Rejected</v>
      </c>
      <c r="D5" s="4"/>
      <c r="E5" s="4"/>
      <c r="F5" s="4"/>
      <c r="G5" s="5"/>
      <c r="H5" s="1"/>
      <c r="I5" s="1"/>
      <c r="J5" s="4"/>
    </row>
    <row r="6" spans="1:10">
      <c r="A6" s="30" t="str">
        <v>Pune</v>
      </c>
      <c r="B6" s="31" t="str">
        <v>Operations</v>
      </c>
      <c r="C6" s="31"/>
      <c r="D6" s="4"/>
      <c r="E6" s="4"/>
      <c r="F6" s="4"/>
      <c r="G6" s="5"/>
      <c r="H6" s="1"/>
      <c r="I6" s="1"/>
      <c r="J6" s="4"/>
    </row>
    <row r="7" spans="1:10">
      <c r="A7" s="1"/>
      <c r="B7" s="4"/>
      <c r="C7" s="4"/>
      <c r="D7" s="4"/>
      <c r="E7" s="4"/>
      <c r="F7" s="4"/>
      <c r="G7" s="5"/>
      <c r="H7" s="1"/>
      <c r="I7" s="1"/>
      <c r="J7" s="4"/>
    </row>
    <row r="8" spans="1:10">
      <c r="D8" s="4"/>
      <c r="E8" s="4"/>
      <c r="F8" s="4"/>
      <c r="G8" s="5"/>
      <c r="H8" s="1"/>
      <c r="I8" s="1"/>
      <c r="J8" s="4"/>
    </row>
    <row r="9" spans="1:10" ht="21">
      <c r="B9" s="148" t="s">
        <v>250</v>
      </c>
      <c r="C9" s="149"/>
      <c r="D9" s="149"/>
      <c r="E9" s="4"/>
      <c r="F9" s="4"/>
      <c r="G9" s="5"/>
      <c r="H9" s="1"/>
      <c r="I9" s="1"/>
      <c r="J9" s="4"/>
    </row>
    <row r="10" spans="1:10">
      <c r="D10" s="4"/>
      <c r="E10" s="4"/>
      <c r="F10" s="4"/>
      <c r="G10" s="5"/>
      <c r="H10" s="1"/>
      <c r="I10" s="1"/>
      <c r="J10" s="4"/>
    </row>
    <row r="11" spans="1:10">
      <c r="B11" s="32" t="s">
        <v>2</v>
      </c>
      <c r="C11" s="32" t="s">
        <v>3</v>
      </c>
      <c r="D11" s="32" t="s">
        <v>6</v>
      </c>
      <c r="E11" s="4"/>
      <c r="F11" s="4"/>
      <c r="G11" s="5"/>
      <c r="H11" s="1"/>
      <c r="I11" s="1"/>
      <c r="J11" s="4"/>
    </row>
    <row r="12" spans="1:10">
      <c r="B12" s="33"/>
      <c r="C12" s="34"/>
      <c r="D12" s="34"/>
      <c r="E12" s="4"/>
      <c r="F12" s="4"/>
      <c r="G12" s="5"/>
      <c r="H12" s="1"/>
      <c r="I12" s="1"/>
      <c r="J12" s="4"/>
    </row>
    <row r="13" spans="1:10">
      <c r="A13" s="1"/>
      <c r="B13" s="34"/>
      <c r="C13" s="34"/>
      <c r="D13" s="34"/>
      <c r="E13" s="4"/>
      <c r="F13" s="4"/>
      <c r="G13" s="5"/>
      <c r="H13" s="1"/>
      <c r="I13" s="1"/>
      <c r="J13" s="4"/>
    </row>
    <row r="14" spans="1:10">
      <c r="A14" s="1"/>
      <c r="B14" s="34"/>
      <c r="C14" s="34"/>
      <c r="D14" s="34"/>
      <c r="E14" s="4"/>
      <c r="F14" s="4"/>
      <c r="G14" s="5"/>
      <c r="H14" s="1"/>
      <c r="I14" s="1"/>
      <c r="J14" s="4"/>
    </row>
    <row r="15" spans="1:10">
      <c r="A15" s="1"/>
      <c r="B15" s="34"/>
      <c r="C15" s="34"/>
      <c r="D15" s="34"/>
      <c r="E15" s="4"/>
      <c r="F15" s="4"/>
      <c r="G15" s="5"/>
      <c r="H15" s="1"/>
      <c r="I15" s="1"/>
      <c r="J15" s="4"/>
    </row>
    <row r="16" spans="1:10">
      <c r="A16" s="1"/>
      <c r="E16" s="4"/>
      <c r="F16" s="4"/>
      <c r="G16" s="5"/>
      <c r="H16" s="1"/>
      <c r="I16" s="1"/>
      <c r="J16" s="4"/>
    </row>
    <row r="17" spans="1:10">
      <c r="A17" s="1"/>
      <c r="E17" s="4"/>
      <c r="F17" s="4"/>
      <c r="G17" s="5"/>
      <c r="H17" s="1"/>
      <c r="I17" s="1"/>
      <c r="J17" s="4"/>
    </row>
    <row r="18" spans="1:10">
      <c r="A18" s="1"/>
      <c r="E18" s="4"/>
      <c r="F18" s="4"/>
      <c r="G18" s="5"/>
      <c r="H18" s="1"/>
      <c r="I18" s="1"/>
      <c r="J18" s="4"/>
    </row>
    <row r="19" spans="1:10">
      <c r="A19" s="1"/>
      <c r="B19" s="4"/>
      <c r="C19" s="4"/>
      <c r="D19" s="4"/>
      <c r="E19" s="4"/>
      <c r="F19" s="4"/>
      <c r="G19" s="5"/>
      <c r="H19" s="1"/>
      <c r="I19" s="1"/>
      <c r="J19" s="4"/>
    </row>
    <row r="20" spans="1:10">
      <c r="A20" s="1"/>
      <c r="B20" s="4"/>
      <c r="C20" s="4"/>
      <c r="D20" s="4"/>
      <c r="E20" s="4"/>
      <c r="F20" s="4"/>
      <c r="G20" s="5"/>
      <c r="H20" s="1"/>
      <c r="I20" s="1"/>
      <c r="J20" s="4"/>
    </row>
    <row r="21" spans="1:10">
      <c r="A21" s="1"/>
      <c r="B21" s="4"/>
      <c r="C21" s="4"/>
      <c r="D21" s="4"/>
      <c r="E21" s="4"/>
      <c r="F21" s="4"/>
      <c r="G21" s="5"/>
      <c r="H21" s="1"/>
      <c r="I21" s="1"/>
      <c r="J21" s="4"/>
    </row>
    <row r="22" spans="1:10">
      <c r="A22" s="1"/>
      <c r="B22" s="4"/>
      <c r="C22" s="4"/>
      <c r="D22" s="4"/>
      <c r="E22" s="4"/>
      <c r="F22" s="4"/>
      <c r="G22" s="5"/>
      <c r="H22" s="1"/>
      <c r="I22" s="1"/>
      <c r="J22" s="4"/>
    </row>
    <row r="23" spans="1:10">
      <c r="A23" s="1"/>
      <c r="B23" s="4"/>
      <c r="C23" s="4"/>
      <c r="D23" s="4"/>
      <c r="E23" s="4"/>
      <c r="F23" s="4"/>
      <c r="G23" s="5"/>
      <c r="H23" s="1"/>
      <c r="I23" s="1"/>
      <c r="J23" s="4"/>
    </row>
    <row r="24" spans="1:10">
      <c r="A24" s="1"/>
      <c r="B24" s="4"/>
      <c r="C24" s="4"/>
      <c r="D24" s="4"/>
      <c r="E24" s="4"/>
      <c r="F24" s="4"/>
      <c r="G24" s="5"/>
      <c r="H24" s="1"/>
      <c r="I24" s="1"/>
      <c r="J24" s="4"/>
    </row>
    <row r="25" spans="1:10">
      <c r="B25" s="4"/>
      <c r="C25" s="4"/>
      <c r="D25" s="4"/>
      <c r="E25" s="4"/>
      <c r="F25" s="4"/>
      <c r="G25" s="5"/>
      <c r="H25" s="1"/>
      <c r="I25" s="1"/>
      <c r="J25" s="4"/>
    </row>
    <row r="26" spans="1:10">
      <c r="B26" s="4"/>
      <c r="C26" s="4"/>
      <c r="D26" s="4"/>
      <c r="E26" s="4"/>
      <c r="F26" s="4"/>
      <c r="G26" s="5"/>
      <c r="H26" s="1"/>
      <c r="I26" s="1"/>
      <c r="J26" s="4"/>
    </row>
  </sheetData>
  <mergeCells count="2">
    <mergeCell ref="A1:C1"/>
    <mergeCell ref="B9:D9"/>
  </mergeCells>
  <dataValidations count="4">
    <dataValidation type="list" allowBlank="1" showInputMessage="1" showErrorMessage="1" sqref="L5" xr:uid="{90FCA410-8B23-44D4-80A3-14B821D91B7B}">
      <formula1>$C$2:$C$26</formula1>
    </dataValidation>
    <dataValidation type="list" allowBlank="1" showInputMessage="1" showErrorMessage="1" sqref="B12" xr:uid="{A81D878D-5960-40DF-9F7E-D563D1EE9F1C}">
      <formula1>$A$2:$A$6</formula1>
    </dataValidation>
    <dataValidation type="list" allowBlank="1" showInputMessage="1" showErrorMessage="1" sqref="C12" xr:uid="{1F177171-00F0-48BC-8349-D6FD4449E9ED}">
      <formula1>$B$3:$B$6</formula1>
    </dataValidation>
    <dataValidation type="list" allowBlank="1" showInputMessage="1" showErrorMessage="1" sqref="D12" xr:uid="{ACCD7F08-B19E-4AC7-A87C-F5002F0295C8}">
      <formula1>$C$3:$C$5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Data1</vt:lpstr>
      <vt:lpstr>Data</vt:lpstr>
      <vt:lpstr>Dashboard</vt:lpstr>
      <vt:lpstr>Chart Analysis</vt:lpstr>
      <vt:lpstr>Exercise 1-5</vt:lpstr>
      <vt:lpstr>Ecercise 6-10</vt:lpstr>
      <vt:lpstr>Raw Data2</vt:lpstr>
      <vt:lpstr>Data Copy</vt:lpstr>
      <vt:lpstr>Assessment Instuctions</vt:lpstr>
      <vt:lpstr>Data 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 Sha</dc:creator>
  <cp:lastModifiedBy>Anu Sha</cp:lastModifiedBy>
  <dcterms:created xsi:type="dcterms:W3CDTF">2026-09-20T06:18:57Z</dcterms:created>
  <dcterms:modified xsi:type="dcterms:W3CDTF">2026-09-27T18:43:17Z</dcterms:modified>
</cp:coreProperties>
</file>